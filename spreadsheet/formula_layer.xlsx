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ment_data" sheetId="1" r:id="rId5"/>
    <sheet state="visible" name="regional_revenue" sheetId="2" r:id="rId6"/>
    <sheet state="visible" name="matrix" sheetId="3" r:id="rId7"/>
    <sheet state="visible" name="yoy" sheetId="4" r:id="rId8"/>
  </sheets>
  <definedNames>
    <definedName hidden="1" localSheetId="0" name="_xlnm._FilterDatabase">segment_data!$A$1:$Z$1000</definedName>
  </definedNames>
  <calcPr/>
</workbook>
</file>

<file path=xl/sharedStrings.xml><?xml version="1.0" encoding="utf-8"?>
<sst xmlns="http://schemas.openxmlformats.org/spreadsheetml/2006/main" count="2643" uniqueCount="76">
  <si>
    <t>fiscal_quarter</t>
  </si>
  <si>
    <t>quarter_end_date</t>
  </si>
  <si>
    <t>fiscal_year</t>
  </si>
  <si>
    <t>period_type</t>
  </si>
  <si>
    <t>business_unit</t>
  </si>
  <si>
    <t>region</t>
  </si>
  <si>
    <t>segment</t>
  </si>
  <si>
    <t>metric</t>
  </si>
  <si>
    <t>value</t>
  </si>
  <si>
    <t>unit</t>
  </si>
  <si>
    <t>reporting_basis</t>
  </si>
  <si>
    <t>source_type</t>
  </si>
  <si>
    <t>source_url</t>
  </si>
  <si>
    <t>Q1 FY24</t>
  </si>
  <si>
    <t>FY24</t>
  </si>
  <si>
    <t>Commercial PS</t>
  </si>
  <si>
    <t>quarter</t>
  </si>
  <si>
    <t>Personal Systems</t>
  </si>
  <si>
    <t>net_revenue</t>
  </si>
  <si>
    <t>APJ</t>
  </si>
  <si>
    <t>USD millions</t>
  </si>
  <si>
    <t>FY26 realigned</t>
  </si>
  <si>
    <t>reported</t>
  </si>
  <si>
    <t>Business Unit</t>
  </si>
  <si>
    <t>https://investor.hp.com/news-events/news/news-details/2026/HP-Inc--Reports-Fiscal-2026-First-Quarter-Results/default.aspx</t>
  </si>
  <si>
    <t>https://www.sec.gov/Archives/edgar/data/47217/000004721725000025/</t>
  </si>
  <si>
    <t>Quarter</t>
  </si>
  <si>
    <t>Current value</t>
  </si>
  <si>
    <t>Prior year qtr</t>
  </si>
  <si>
    <t>Prior value</t>
  </si>
  <si>
    <t>Y/Y computed</t>
  </si>
  <si>
    <t>HP Published</t>
  </si>
  <si>
    <t>FY26 Realigned</t>
  </si>
  <si>
    <t>Flag</t>
  </si>
  <si>
    <t>Q3 FY26</t>
  </si>
  <si>
    <t>Americas</t>
  </si>
  <si>
    <t>as previously reported</t>
  </si>
  <si>
    <t>Q2 FY24</t>
  </si>
  <si>
    <t>EMEA</t>
  </si>
  <si>
    <t>Q3 FY24</t>
  </si>
  <si>
    <t>https://www.sec.gov/Archives/edgar/data/47217/000004721725000043/</t>
  </si>
  <si>
    <t>Q4 FY24</t>
  </si>
  <si>
    <t>Consumer PS</t>
  </si>
  <si>
    <t>Q3 FY25</t>
  </si>
  <si>
    <t>https://www.sec.gov/Archives/edgar/data/47217/000004721725000063/</t>
  </si>
  <si>
    <t>full_year</t>
  </si>
  <si>
    <t>https://www.sec.gov/Archives/edgar/data/47217/000004721724000080/</t>
  </si>
  <si>
    <t>computed</t>
  </si>
  <si>
    <t>Supplies</t>
  </si>
  <si>
    <t>FY24 row above, minus Q1+Q2+Q3 FY24 rows above</t>
  </si>
  <si>
    <t>Printing</t>
  </si>
  <si>
    <t>Q1 FY25</t>
  </si>
  <si>
    <t>FY25</t>
  </si>
  <si>
    <t>Commercial Printing</t>
  </si>
  <si>
    <t>Q2 FY25</t>
  </si>
  <si>
    <t>Consumer Printing</t>
  </si>
  <si>
    <t>https://www.sec.gov/Archives/edgar/data/47217/000004721725000071/</t>
  </si>
  <si>
    <t>Q4 FY25</t>
  </si>
  <si>
    <t>FY25 row above, minus Q1+Q2+Q3 FY25 rows above</t>
  </si>
  <si>
    <t>Q1 FY26</t>
  </si>
  <si>
    <t>Corporate Investments</t>
  </si>
  <si>
    <t>Other</t>
  </si>
  <si>
    <t>FY26</t>
  </si>
  <si>
    <t>https://www.sec.gov/Archives/edgar/data/47217/000004721726000011/</t>
  </si>
  <si>
    <t>Total segment</t>
  </si>
  <si>
    <t>Q2 FY26</t>
  </si>
  <si>
    <t>https://www.sec.gov/Archives/edgar/data/47217/000004721726000029/</t>
  </si>
  <si>
    <t>https://www.sec.gov/Archives/edgar/data/47217/000004721726000051/</t>
  </si>
  <si>
    <t>https://investor.hp.com/news-events/news/news-details/2026/HP-Inc--Reports-Fiscal-2026-Third-Quarter-Results/default.aspx</t>
  </si>
  <si>
    <t>operating_margin_pct</t>
  </si>
  <si>
    <t>percent</t>
  </si>
  <si>
    <t>earnings_before_taxes</t>
  </si>
  <si>
    <t>yoy_growth_cc_pct</t>
  </si>
  <si>
    <t>https://investor.hp.com/news-events/news/news-details/2026/HP-Inc--Reports-Fiscal-2026-Second-Quarter-Results/default.aspx</t>
  </si>
  <si>
    <t>units_yoy_pct</t>
  </si>
  <si>
    <t>yoy_growth_pct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</si>
</sst>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0.0%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1" numFmtId="165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0" fontId="2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vestor.hp.com/news-events/news/news-details/2026/HP-Inc--Reports-Fiscal-2026-First-Quarter-Results/default.aspx" TargetMode="External"/><Relationship Id="rId190" Type="http://schemas.openxmlformats.org/officeDocument/2006/relationships/hyperlink" Target="https://investor.hp.com/news-events/news/news-details/2026/HP-Inc--Reports-Fiscal-2026-First-Quarter-Results/default.aspx" TargetMode="External"/><Relationship Id="rId42" Type="http://schemas.openxmlformats.org/officeDocument/2006/relationships/hyperlink" Target="https://investor.hp.com/news-events/news/news-details/2026/HP-Inc--Reports-Fiscal-2026-First-Quarter-Results/default.aspx" TargetMode="External"/><Relationship Id="rId41" Type="http://schemas.openxmlformats.org/officeDocument/2006/relationships/hyperlink" Target="https://investor.hp.com/news-events/news/news-details/2026/HP-Inc--Reports-Fiscal-2026-First-Quarter-Results/default.aspx" TargetMode="External"/><Relationship Id="rId44" Type="http://schemas.openxmlformats.org/officeDocument/2006/relationships/hyperlink" Target="https://investor.hp.com/news-events/news/news-details/2026/HP-Inc--Reports-Fiscal-2026-First-Quarter-Results/default.aspx" TargetMode="External"/><Relationship Id="rId194" Type="http://schemas.openxmlformats.org/officeDocument/2006/relationships/hyperlink" Target="https://investor.hp.com/news-events/news/news-details/2026/HP-Inc--Reports-Fiscal-2026-First-Quarter-Results/default.aspx" TargetMode="External"/><Relationship Id="rId43" Type="http://schemas.openxmlformats.org/officeDocument/2006/relationships/hyperlink" Target="https://investor.hp.com/news-events/news/news-details/2026/HP-Inc--Reports-Fiscal-2026-First-Quarter-Results/default.aspx" TargetMode="External"/><Relationship Id="rId193" Type="http://schemas.openxmlformats.org/officeDocument/2006/relationships/hyperlink" Target="https://investor.hp.com/news-events/news/news-details/2026/HP-Inc--Reports-Fiscal-2026-First-Quarter-Results/default.aspx" TargetMode="External"/><Relationship Id="rId46" Type="http://schemas.openxmlformats.org/officeDocument/2006/relationships/hyperlink" Target="https://investor.hp.com/news-events/news/news-details/2026/HP-Inc--Reports-Fiscal-2026-First-Quarter-Results/default.aspx" TargetMode="External"/><Relationship Id="rId192" Type="http://schemas.openxmlformats.org/officeDocument/2006/relationships/hyperlink" Target="https://investor.hp.com/news-events/news/news-details/2026/HP-Inc--Reports-Fiscal-2026-First-Quarter-Results/default.aspx" TargetMode="External"/><Relationship Id="rId45" Type="http://schemas.openxmlformats.org/officeDocument/2006/relationships/hyperlink" Target="https://investor.hp.com/news-events/news/news-details/2026/HP-Inc--Reports-Fiscal-2026-First-Quarter-Results/default.aspx" TargetMode="External"/><Relationship Id="rId191" Type="http://schemas.openxmlformats.org/officeDocument/2006/relationships/hyperlink" Target="https://investor.hp.com/news-events/news/news-details/2026/HP-Inc--Reports-Fiscal-2026-First-Quarter-Results/default.aspx" TargetMode="External"/><Relationship Id="rId48" Type="http://schemas.openxmlformats.org/officeDocument/2006/relationships/hyperlink" Target="https://investor.hp.com/news-events/news/news-details/2026/HP-Inc--Reports-Fiscal-2026-First-Quarter-Results/default.aspx" TargetMode="External"/><Relationship Id="rId187" Type="http://schemas.openxmlformats.org/officeDocument/2006/relationships/hyperlink" Target="https://investor.hp.com/news-events/news/news-details/2026/HP-Inc--Reports-Fiscal-2026-Third-Quarter-Results/default.aspx" TargetMode="External"/><Relationship Id="rId47" Type="http://schemas.openxmlformats.org/officeDocument/2006/relationships/hyperlink" Target="https://investor.hp.com/news-events/news/news-details/2026/HP-Inc--Reports-Fiscal-2026-First-Quarter-Results/default.aspx" TargetMode="External"/><Relationship Id="rId186" Type="http://schemas.openxmlformats.org/officeDocument/2006/relationships/hyperlink" Target="https://investor.hp.com/news-events/news/news-details/2026/HP-Inc--Reports-Fiscal-2026-Third-Quarter-Results/default.aspx" TargetMode="External"/><Relationship Id="rId185" Type="http://schemas.openxmlformats.org/officeDocument/2006/relationships/hyperlink" Target="https://investor.hp.com/news-events/news/news-details/2026/HP-Inc--Reports-Fiscal-2026-Third-Quarter-Results/default.aspx" TargetMode="External"/><Relationship Id="rId49" Type="http://schemas.openxmlformats.org/officeDocument/2006/relationships/hyperlink" Target="https://investor.hp.com/news-events/news/news-details/2026/HP-Inc--Reports-Fiscal-2026-First-Quarter-Results/default.aspx" TargetMode="External"/><Relationship Id="rId184" Type="http://schemas.openxmlformats.org/officeDocument/2006/relationships/hyperlink" Target="https://investor.hp.com/news-events/news/news-details/2026/HP-Inc--Reports-Fiscal-2026-Third-Quarter-Results/default.aspx" TargetMode="External"/><Relationship Id="rId189" Type="http://schemas.openxmlformats.org/officeDocument/2006/relationships/hyperlink" Target="https://investor.hp.com/news-events/news/news-details/2026/HP-Inc--Reports-Fiscal-2026-Third-Quarter-Results/default.aspx" TargetMode="External"/><Relationship Id="rId188" Type="http://schemas.openxmlformats.org/officeDocument/2006/relationships/hyperlink" Target="https://investor.hp.com/news-events/news/news-details/2026/HP-Inc--Reports-Fiscal-2026-Third-Quarter-Results/default.aspx" TargetMode="External"/><Relationship Id="rId31" Type="http://schemas.openxmlformats.org/officeDocument/2006/relationships/hyperlink" Target="https://investor.hp.com/news-events/news/news-details/2026/HP-Inc--Reports-Fiscal-2026-First-Quarter-Results/default.aspx" TargetMode="External"/><Relationship Id="rId30" Type="http://schemas.openxmlformats.org/officeDocument/2006/relationships/hyperlink" Target="https://investor.hp.com/news-events/news/news-details/2026/HP-Inc--Reports-Fiscal-2026-First-Quarter-Results/default.aspx" TargetMode="External"/><Relationship Id="rId33" Type="http://schemas.openxmlformats.org/officeDocument/2006/relationships/hyperlink" Target="https://investor.hp.com/news-events/news/news-details/2026/HP-Inc--Reports-Fiscal-2026-First-Quarter-Results/default.aspx" TargetMode="External"/><Relationship Id="rId183" Type="http://schemas.openxmlformats.org/officeDocument/2006/relationships/hyperlink" Target="https://investor.hp.com/news-events/news/news-details/2026/HP-Inc--Reports-Fiscal-2026-First-Quarter-Results/default.aspx" TargetMode="External"/><Relationship Id="rId32" Type="http://schemas.openxmlformats.org/officeDocument/2006/relationships/hyperlink" Target="https://investor.hp.com/news-events/news/news-details/2026/HP-Inc--Reports-Fiscal-2026-First-Quarter-Results/default.aspx" TargetMode="External"/><Relationship Id="rId182" Type="http://schemas.openxmlformats.org/officeDocument/2006/relationships/hyperlink" Target="https://investor.hp.com/news-events/news/news-details/2026/HP-Inc--Reports-Fiscal-2026-First-Quarter-Results/default.aspx" TargetMode="External"/><Relationship Id="rId35" Type="http://schemas.openxmlformats.org/officeDocument/2006/relationships/hyperlink" Target="https://investor.hp.com/news-events/news/news-details/2026/HP-Inc--Reports-Fiscal-2026-First-Quarter-Results/default.aspx" TargetMode="External"/><Relationship Id="rId181" Type="http://schemas.openxmlformats.org/officeDocument/2006/relationships/hyperlink" Target="https://investor.hp.com/news-events/news/news-details/2026/HP-Inc--Reports-Fiscal-2026-First-Quarter-Results/default.aspx" TargetMode="External"/><Relationship Id="rId34" Type="http://schemas.openxmlformats.org/officeDocument/2006/relationships/hyperlink" Target="https://investor.hp.com/news-events/news/news-details/2026/HP-Inc--Reports-Fiscal-2026-First-Quarter-Results/default.aspx" TargetMode="External"/><Relationship Id="rId180" Type="http://schemas.openxmlformats.org/officeDocument/2006/relationships/hyperlink" Target="https://investor.hp.com/news-events/news/news-details/2026/HP-Inc--Reports-Fiscal-2026-Third-Quarter-Results/default.aspx" TargetMode="External"/><Relationship Id="rId37" Type="http://schemas.openxmlformats.org/officeDocument/2006/relationships/hyperlink" Target="https://investor.hp.com/news-events/news/news-details/2026/HP-Inc--Reports-Fiscal-2026-First-Quarter-Results/default.aspx" TargetMode="External"/><Relationship Id="rId176" Type="http://schemas.openxmlformats.org/officeDocument/2006/relationships/hyperlink" Target="https://investor.hp.com/news-events/news/news-details/2026/HP-Inc--Reports-Fiscal-2026-First-Quarter-Results/default.aspx" TargetMode="External"/><Relationship Id="rId36" Type="http://schemas.openxmlformats.org/officeDocument/2006/relationships/hyperlink" Target="https://investor.hp.com/news-events/news/news-details/2026/HP-Inc--Reports-Fiscal-2026-First-Quarter-Results/default.aspx" TargetMode="External"/><Relationship Id="rId175" Type="http://schemas.openxmlformats.org/officeDocument/2006/relationships/hyperlink" Target="https://investor.hp.com/news-events/news/news-details/2026/HP-Inc--Reports-Fiscal-2026-First-Quarter-Results/default.aspx" TargetMode="External"/><Relationship Id="rId39" Type="http://schemas.openxmlformats.org/officeDocument/2006/relationships/hyperlink" Target="https://investor.hp.com/news-events/news/news-details/2026/HP-Inc--Reports-Fiscal-2026-First-Quarter-Results/default.aspx" TargetMode="External"/><Relationship Id="rId174" Type="http://schemas.openxmlformats.org/officeDocument/2006/relationships/hyperlink" Target="https://investor.hp.com/news-events/news/news-details/2026/HP-Inc--Reports-Fiscal-2026-First-Quarter-Results/default.aspx" TargetMode="External"/><Relationship Id="rId38" Type="http://schemas.openxmlformats.org/officeDocument/2006/relationships/hyperlink" Target="https://investor.hp.com/news-events/news/news-details/2026/HP-Inc--Reports-Fiscal-2026-First-Quarter-Results/default.aspx" TargetMode="External"/><Relationship Id="rId173" Type="http://schemas.openxmlformats.org/officeDocument/2006/relationships/hyperlink" Target="https://investor.hp.com/news-events/news/news-details/2026/HP-Inc--Reports-Fiscal-2026-First-Quarter-Results/default.aspx" TargetMode="External"/><Relationship Id="rId179" Type="http://schemas.openxmlformats.org/officeDocument/2006/relationships/hyperlink" Target="https://investor.hp.com/news-events/news/news-details/2026/HP-Inc--Reports-Fiscal-2026-Third-Quarter-Results/default.aspx" TargetMode="External"/><Relationship Id="rId178" Type="http://schemas.openxmlformats.org/officeDocument/2006/relationships/hyperlink" Target="https://investor.hp.com/news-events/news/news-details/2026/HP-Inc--Reports-Fiscal-2026-Third-Quarter-Results/default.aspx" TargetMode="External"/><Relationship Id="rId177" Type="http://schemas.openxmlformats.org/officeDocument/2006/relationships/hyperlink" Target="https://investor.hp.com/news-events/news/news-details/2026/HP-Inc--Reports-Fiscal-2026-First-Quarter-Results/default.aspx" TargetMode="External"/><Relationship Id="rId20" Type="http://schemas.openxmlformats.org/officeDocument/2006/relationships/hyperlink" Target="https://investor.hp.com/news-events/news/news-details/2026/HP-Inc--Reports-Fiscal-2026-First-Quarter-Results/default.aspx" TargetMode="External"/><Relationship Id="rId22" Type="http://schemas.openxmlformats.org/officeDocument/2006/relationships/hyperlink" Target="https://investor.hp.com/news-events/news/news-details/2026/HP-Inc--Reports-Fiscal-2026-First-Quarter-Results/default.aspx" TargetMode="External"/><Relationship Id="rId21" Type="http://schemas.openxmlformats.org/officeDocument/2006/relationships/hyperlink" Target="https://investor.hp.com/news-events/news/news-details/2026/HP-Inc--Reports-Fiscal-2026-First-Quarter-Results/default.aspx" TargetMode="External"/><Relationship Id="rId24" Type="http://schemas.openxmlformats.org/officeDocument/2006/relationships/hyperlink" Target="https://investor.hp.com/news-events/news/news-details/2026/HP-Inc--Reports-Fiscal-2026-First-Quarter-Results/default.aspx" TargetMode="External"/><Relationship Id="rId23" Type="http://schemas.openxmlformats.org/officeDocument/2006/relationships/hyperlink" Target="https://investor.hp.com/news-events/news/news-details/2026/HP-Inc--Reports-Fiscal-2026-First-Quarter-Results/default.aspx" TargetMode="External"/><Relationship Id="rId26" Type="http://schemas.openxmlformats.org/officeDocument/2006/relationships/hyperlink" Target="https://investor.hp.com/news-events/news/news-details/2026/HP-Inc--Reports-Fiscal-2026-First-Quarter-Results/default.aspx" TargetMode="External"/><Relationship Id="rId25" Type="http://schemas.openxmlformats.org/officeDocument/2006/relationships/hyperlink" Target="https://investor.hp.com/news-events/news/news-details/2026/HP-Inc--Reports-Fiscal-2026-First-Quarter-Results/default.aspx" TargetMode="External"/><Relationship Id="rId28" Type="http://schemas.openxmlformats.org/officeDocument/2006/relationships/hyperlink" Target="https://investor.hp.com/news-events/news/news-details/2026/HP-Inc--Reports-Fiscal-2026-First-Quarter-Results/default.aspx" TargetMode="External"/><Relationship Id="rId27" Type="http://schemas.openxmlformats.org/officeDocument/2006/relationships/hyperlink" Target="https://investor.hp.com/news-events/news/news-details/2026/HP-Inc--Reports-Fiscal-2026-First-Quarter-Results/default.aspx" TargetMode="External"/><Relationship Id="rId29" Type="http://schemas.openxmlformats.org/officeDocument/2006/relationships/hyperlink" Target="https://investor.hp.com/news-events/news/news-details/2026/HP-Inc--Reports-Fiscal-2026-First-Quarter-Results/default.aspx" TargetMode="External"/><Relationship Id="rId11" Type="http://schemas.openxmlformats.org/officeDocument/2006/relationships/hyperlink" Target="https://investor.hp.com/news-events/news/news-details/2026/HP-Inc--Reports-Fiscal-2026-First-Quarter-Results/default.aspx" TargetMode="External"/><Relationship Id="rId10" Type="http://schemas.openxmlformats.org/officeDocument/2006/relationships/hyperlink" Target="https://investor.hp.com/news-events/news/news-details/2026/HP-Inc--Reports-Fiscal-2026-First-Quarter-Results/default.aspx" TargetMode="External"/><Relationship Id="rId13" Type="http://schemas.openxmlformats.org/officeDocument/2006/relationships/hyperlink" Target="https://investor.hp.com/news-events/news/news-details/2026/HP-Inc--Reports-Fiscal-2026-First-Quarter-Results/default.aspx" TargetMode="External"/><Relationship Id="rId12" Type="http://schemas.openxmlformats.org/officeDocument/2006/relationships/hyperlink" Target="https://investor.hp.com/news-events/news/news-details/2026/HP-Inc--Reports-Fiscal-2026-First-Quarter-Results/default.aspx" TargetMode="External"/><Relationship Id="rId15" Type="http://schemas.openxmlformats.org/officeDocument/2006/relationships/hyperlink" Target="https://investor.hp.com/news-events/news/news-details/2026/HP-Inc--Reports-Fiscal-2026-First-Quarter-Results/default.aspx" TargetMode="External"/><Relationship Id="rId198" Type="http://schemas.openxmlformats.org/officeDocument/2006/relationships/hyperlink" Target="https://investor.hp.com/news-events/news/news-details/2026/HP-Inc--Reports-Fiscal-2026-First-Quarter-Results/default.aspx" TargetMode="External"/><Relationship Id="rId14" Type="http://schemas.openxmlformats.org/officeDocument/2006/relationships/hyperlink" Target="https://investor.hp.com/news-events/news/news-details/2026/HP-Inc--Reports-Fiscal-2026-First-Quarter-Results/default.aspx" TargetMode="External"/><Relationship Id="rId197" Type="http://schemas.openxmlformats.org/officeDocument/2006/relationships/hyperlink" Target="https://investor.hp.com/news-events/news/news-details/2026/HP-Inc--Reports-Fiscal-2026-First-Quarter-Results/default.aspx" TargetMode="External"/><Relationship Id="rId17" Type="http://schemas.openxmlformats.org/officeDocument/2006/relationships/hyperlink" Target="https://investor.hp.com/news-events/news/news-details/2026/HP-Inc--Reports-Fiscal-2026-First-Quarter-Results/default.aspx" TargetMode="External"/><Relationship Id="rId196" Type="http://schemas.openxmlformats.org/officeDocument/2006/relationships/hyperlink" Target="https://investor.hp.com/news-events/news/news-details/2026/HP-Inc--Reports-Fiscal-2026-First-Quarter-Results/default.aspx" TargetMode="External"/><Relationship Id="rId16" Type="http://schemas.openxmlformats.org/officeDocument/2006/relationships/hyperlink" Target="https://investor.hp.com/news-events/news/news-details/2026/HP-Inc--Reports-Fiscal-2026-First-Quarter-Results/default.aspx" TargetMode="External"/><Relationship Id="rId195" Type="http://schemas.openxmlformats.org/officeDocument/2006/relationships/hyperlink" Target="https://investor.hp.com/news-events/news/news-details/2026/HP-Inc--Reports-Fiscal-2026-First-Quarter-Results/default.aspx" TargetMode="External"/><Relationship Id="rId19" Type="http://schemas.openxmlformats.org/officeDocument/2006/relationships/hyperlink" Target="https://investor.hp.com/news-events/news/news-details/2026/HP-Inc--Reports-Fiscal-2026-First-Quarter-Results/default.aspx" TargetMode="External"/><Relationship Id="rId18" Type="http://schemas.openxmlformats.org/officeDocument/2006/relationships/hyperlink" Target="https://investor.hp.com/news-events/news/news-details/2026/HP-Inc--Reports-Fiscal-2026-First-Quarter-Results/default.aspx" TargetMode="External"/><Relationship Id="rId199" Type="http://schemas.openxmlformats.org/officeDocument/2006/relationships/hyperlink" Target="https://investor.hp.com/news-events/news/news-details/2026/HP-Inc--Reports-Fiscal-2026-First-Quarter-Results/default.aspx" TargetMode="External"/><Relationship Id="rId84" Type="http://schemas.openxmlformats.org/officeDocument/2006/relationships/hyperlink" Target="https://investor.hp.com/news-events/news/news-details/2026/HP-Inc--Reports-Fiscal-2026-First-Quarter-Results/default.aspx" TargetMode="External"/><Relationship Id="rId83" Type="http://schemas.openxmlformats.org/officeDocument/2006/relationships/hyperlink" Target="https://investor.hp.com/news-events/news/news-details/2026/HP-Inc--Reports-Fiscal-2026-First-Quarter-Results/default.aspx" TargetMode="External"/><Relationship Id="rId86" Type="http://schemas.openxmlformats.org/officeDocument/2006/relationships/hyperlink" Target="https://investor.hp.com/news-events/news/news-details/2026/HP-Inc--Reports-Fiscal-2026-First-Quarter-Results/default.aspx" TargetMode="External"/><Relationship Id="rId85" Type="http://schemas.openxmlformats.org/officeDocument/2006/relationships/hyperlink" Target="https://investor.hp.com/news-events/news/news-details/2026/HP-Inc--Reports-Fiscal-2026-First-Quarter-Results/default.aspx" TargetMode="External"/><Relationship Id="rId88" Type="http://schemas.openxmlformats.org/officeDocument/2006/relationships/hyperlink" Target="https://investor.hp.com/news-events/news/news-details/2026/HP-Inc--Reports-Fiscal-2026-First-Quarter-Results/default.aspx" TargetMode="External"/><Relationship Id="rId150" Type="http://schemas.openxmlformats.org/officeDocument/2006/relationships/hyperlink" Target="https://investor.hp.com/news-events/news/news-details/2026/HP-Inc--Reports-Fiscal-2026-First-Quarter-Results/default.aspx" TargetMode="External"/><Relationship Id="rId87" Type="http://schemas.openxmlformats.org/officeDocument/2006/relationships/hyperlink" Target="https://investor.hp.com/news-events/news/news-details/2026/HP-Inc--Reports-Fiscal-2026-First-Quarter-Results/default.aspx" TargetMode="External"/><Relationship Id="rId89" Type="http://schemas.openxmlformats.org/officeDocument/2006/relationships/hyperlink" Target="https://investor.hp.com/news-events/news/news-details/2026/HP-Inc--Reports-Fiscal-2026-First-Quarter-Results/default.aspx" TargetMode="External"/><Relationship Id="rId80" Type="http://schemas.openxmlformats.org/officeDocument/2006/relationships/hyperlink" Target="https://investor.hp.com/news-events/news/news-details/2026/HP-Inc--Reports-Fiscal-2026-First-Quarter-Results/default.aspx" TargetMode="External"/><Relationship Id="rId82" Type="http://schemas.openxmlformats.org/officeDocument/2006/relationships/hyperlink" Target="https://investor.hp.com/news-events/news/news-details/2026/HP-Inc--Reports-Fiscal-2026-First-Quarter-Results/default.aspx" TargetMode="External"/><Relationship Id="rId81" Type="http://schemas.openxmlformats.org/officeDocument/2006/relationships/hyperlink" Target="https://investor.hp.com/news-events/news/news-details/2026/HP-Inc--Reports-Fiscal-2026-First-Quarter-Results/default.aspx" TargetMode="External"/><Relationship Id="rId1" Type="http://schemas.openxmlformats.org/officeDocument/2006/relationships/hyperlink" Target="https://investor.hp.com/news-events/news/news-details/2026/HP-Inc--Reports-Fiscal-2026-First-Quarter-Results/default.aspx" TargetMode="External"/><Relationship Id="rId2" Type="http://schemas.openxmlformats.org/officeDocument/2006/relationships/hyperlink" Target="https://investor.hp.com/news-events/news/news-details/2026/HP-Inc--Reports-Fiscal-2026-First-Quarter-Results/default.aspx" TargetMode="External"/><Relationship Id="rId3" Type="http://schemas.openxmlformats.org/officeDocument/2006/relationships/hyperlink" Target="https://investor.hp.com/news-events/news/news-details/2026/HP-Inc--Reports-Fiscal-2026-First-Quarter-Results/default.aspx" TargetMode="External"/><Relationship Id="rId149" Type="http://schemas.openxmlformats.org/officeDocument/2006/relationships/hyperlink" Target="https://investor.hp.com/news-events/news/news-details/2026/HP-Inc--Reports-Fiscal-2026-First-Quarter-Results/default.aspx" TargetMode="External"/><Relationship Id="rId4" Type="http://schemas.openxmlformats.org/officeDocument/2006/relationships/hyperlink" Target="https://investor.hp.com/news-events/news/news-details/2026/HP-Inc--Reports-Fiscal-2026-First-Quarter-Results/default.aspx" TargetMode="External"/><Relationship Id="rId148" Type="http://schemas.openxmlformats.org/officeDocument/2006/relationships/hyperlink" Target="https://investor.hp.com/news-events/news/news-details/2026/HP-Inc--Reports-Fiscal-2026-First-Quarter-Results/default.aspx" TargetMode="External"/><Relationship Id="rId9" Type="http://schemas.openxmlformats.org/officeDocument/2006/relationships/hyperlink" Target="https://investor.hp.com/news-events/news/news-details/2026/HP-Inc--Reports-Fiscal-2026-First-Quarter-Results/default.aspx" TargetMode="External"/><Relationship Id="rId143" Type="http://schemas.openxmlformats.org/officeDocument/2006/relationships/hyperlink" Target="https://investor.hp.com/news-events/news/news-details/2026/HP-Inc--Reports-Fiscal-2026-First-Quarter-Results/default.aspx" TargetMode="External"/><Relationship Id="rId142" Type="http://schemas.openxmlformats.org/officeDocument/2006/relationships/hyperlink" Target="https://investor.hp.com/news-events/news/news-details/2026/HP-Inc--Reports-Fiscal-2026-First-Quarter-Results/default.aspx" TargetMode="External"/><Relationship Id="rId141" Type="http://schemas.openxmlformats.org/officeDocument/2006/relationships/hyperlink" Target="https://investor.hp.com/news-events/news/news-details/2026/HP-Inc--Reports-Fiscal-2026-First-Quarter-Results/default.aspx" TargetMode="External"/><Relationship Id="rId140" Type="http://schemas.openxmlformats.org/officeDocument/2006/relationships/hyperlink" Target="https://investor.hp.com/news-events/news/news-details/2026/HP-Inc--Reports-Fiscal-2026-First-Quarter-Results/default.aspx" TargetMode="External"/><Relationship Id="rId5" Type="http://schemas.openxmlformats.org/officeDocument/2006/relationships/hyperlink" Target="https://investor.hp.com/news-events/news/news-details/2026/HP-Inc--Reports-Fiscal-2026-First-Quarter-Results/default.aspx" TargetMode="External"/><Relationship Id="rId147" Type="http://schemas.openxmlformats.org/officeDocument/2006/relationships/hyperlink" Target="https://investor.hp.com/news-events/news/news-details/2026/HP-Inc--Reports-Fiscal-2026-First-Quarter-Results/default.aspx" TargetMode="External"/><Relationship Id="rId6" Type="http://schemas.openxmlformats.org/officeDocument/2006/relationships/hyperlink" Target="https://investor.hp.com/news-events/news/news-details/2026/HP-Inc--Reports-Fiscal-2026-First-Quarter-Results/default.aspx" TargetMode="External"/><Relationship Id="rId146" Type="http://schemas.openxmlformats.org/officeDocument/2006/relationships/hyperlink" Target="https://investor.hp.com/news-events/news/news-details/2026/HP-Inc--Reports-Fiscal-2026-First-Quarter-Results/default.aspx" TargetMode="External"/><Relationship Id="rId7" Type="http://schemas.openxmlformats.org/officeDocument/2006/relationships/hyperlink" Target="https://investor.hp.com/news-events/news/news-details/2026/HP-Inc--Reports-Fiscal-2026-First-Quarter-Results/default.aspx" TargetMode="External"/><Relationship Id="rId145" Type="http://schemas.openxmlformats.org/officeDocument/2006/relationships/hyperlink" Target="https://investor.hp.com/news-events/news/news-details/2026/HP-Inc--Reports-Fiscal-2026-First-Quarter-Results/default.aspx" TargetMode="External"/><Relationship Id="rId8" Type="http://schemas.openxmlformats.org/officeDocument/2006/relationships/hyperlink" Target="https://investor.hp.com/news-events/news/news-details/2026/HP-Inc--Reports-Fiscal-2026-First-Quarter-Results/default.aspx" TargetMode="External"/><Relationship Id="rId144" Type="http://schemas.openxmlformats.org/officeDocument/2006/relationships/hyperlink" Target="https://investor.hp.com/news-events/news/news-details/2026/HP-Inc--Reports-Fiscal-2026-First-Quarter-Results/default.aspx" TargetMode="External"/><Relationship Id="rId73" Type="http://schemas.openxmlformats.org/officeDocument/2006/relationships/hyperlink" Target="https://investor.hp.com/news-events/news/news-details/2026/HP-Inc--Reports-Fiscal-2026-First-Quarter-Results/default.aspx" TargetMode="External"/><Relationship Id="rId72" Type="http://schemas.openxmlformats.org/officeDocument/2006/relationships/hyperlink" Target="https://investor.hp.com/news-events/news/news-details/2026/HP-Inc--Reports-Fiscal-2026-First-Quarter-Results/default.aspx" TargetMode="External"/><Relationship Id="rId75" Type="http://schemas.openxmlformats.org/officeDocument/2006/relationships/hyperlink" Target="https://investor.hp.com/news-events/news/news-details/2026/HP-Inc--Reports-Fiscal-2026-First-Quarter-Results/default.aspx" TargetMode="External"/><Relationship Id="rId74" Type="http://schemas.openxmlformats.org/officeDocument/2006/relationships/hyperlink" Target="https://investor.hp.com/news-events/news/news-details/2026/HP-Inc--Reports-Fiscal-2026-First-Quarter-Results/default.aspx" TargetMode="External"/><Relationship Id="rId77" Type="http://schemas.openxmlformats.org/officeDocument/2006/relationships/hyperlink" Target="https://investor.hp.com/news-events/news/news-details/2026/HP-Inc--Reports-Fiscal-2026-First-Quarter-Results/default.aspx" TargetMode="External"/><Relationship Id="rId76" Type="http://schemas.openxmlformats.org/officeDocument/2006/relationships/hyperlink" Target="https://investor.hp.com/news-events/news/news-details/2026/HP-Inc--Reports-Fiscal-2026-First-Quarter-Results/default.aspx" TargetMode="External"/><Relationship Id="rId79" Type="http://schemas.openxmlformats.org/officeDocument/2006/relationships/hyperlink" Target="https://investor.hp.com/news-events/news/news-details/2026/HP-Inc--Reports-Fiscal-2026-First-Quarter-Results/default.aspx" TargetMode="External"/><Relationship Id="rId78" Type="http://schemas.openxmlformats.org/officeDocument/2006/relationships/hyperlink" Target="https://investor.hp.com/news-events/news/news-details/2026/HP-Inc--Reports-Fiscal-2026-First-Quarter-Results/default.aspx" TargetMode="External"/><Relationship Id="rId71" Type="http://schemas.openxmlformats.org/officeDocument/2006/relationships/hyperlink" Target="https://investor.hp.com/news-events/news/news-details/2026/HP-Inc--Reports-Fiscal-2026-First-Quarter-Results/default.aspx" TargetMode="External"/><Relationship Id="rId70" Type="http://schemas.openxmlformats.org/officeDocument/2006/relationships/hyperlink" Target="https://investor.hp.com/news-events/news/news-details/2026/HP-Inc--Reports-Fiscal-2026-First-Quarter-Results/default.aspx" TargetMode="External"/><Relationship Id="rId139" Type="http://schemas.openxmlformats.org/officeDocument/2006/relationships/hyperlink" Target="https://investor.hp.com/news-events/news/news-details/2026/HP-Inc--Reports-Fiscal-2026-First-Quarter-Results/default.aspx" TargetMode="External"/><Relationship Id="rId138" Type="http://schemas.openxmlformats.org/officeDocument/2006/relationships/hyperlink" Target="https://investor.hp.com/news-events/news/news-details/2026/HP-Inc--Reports-Fiscal-2026-First-Quarter-Results/default.aspx" TargetMode="External"/><Relationship Id="rId137" Type="http://schemas.openxmlformats.org/officeDocument/2006/relationships/hyperlink" Target="https://investor.hp.com/news-events/news/news-details/2026/HP-Inc--Reports-Fiscal-2026-First-Quarter-Results/default.aspx" TargetMode="External"/><Relationship Id="rId132" Type="http://schemas.openxmlformats.org/officeDocument/2006/relationships/hyperlink" Target="https://investor.hp.com/news-events/news/news-details/2026/HP-Inc--Reports-Fiscal-2026-First-Quarter-Results/default.aspx" TargetMode="External"/><Relationship Id="rId253" Type="http://schemas.openxmlformats.org/officeDocument/2006/relationships/hyperlink" Target="https://investor.hp.com/news-events/news/news-details/2026/HP-Inc--Reports-Fiscal-2026-Third-Quarter-Results/default.aspx" TargetMode="External"/><Relationship Id="rId131" Type="http://schemas.openxmlformats.org/officeDocument/2006/relationships/hyperlink" Target="https://investor.hp.com/news-events/news/news-details/2026/HP-Inc--Reports-Fiscal-2026-First-Quarter-Results/default.aspx" TargetMode="External"/><Relationship Id="rId252" Type="http://schemas.openxmlformats.org/officeDocument/2006/relationships/hyperlink" Target="https://investor.hp.com/news-events/news/news-details/2026/HP-Inc--Reports-Fiscal-2026-Third-Quarter-Results/default.aspx" TargetMode="External"/><Relationship Id="rId130" Type="http://schemas.openxmlformats.org/officeDocument/2006/relationships/hyperlink" Target="https://investor.hp.com/news-events/news/news-details/2026/HP-Inc--Reports-Fiscal-2026-First-Quarter-Results/default.aspx" TargetMode="External"/><Relationship Id="rId251" Type="http://schemas.openxmlformats.org/officeDocument/2006/relationships/hyperlink" Target="https://investor.hp.com/news-events/news/news-details/2026/HP-Inc--Reports-Fiscal-2026-Second-Quarter-Results/default.aspx" TargetMode="External"/><Relationship Id="rId250" Type="http://schemas.openxmlformats.org/officeDocument/2006/relationships/hyperlink" Target="https://investor.hp.com/news-events/news/news-details/2026/HP-Inc--Reports-Fiscal-2026-Second-Quarter-Results/default.aspx" TargetMode="External"/><Relationship Id="rId136" Type="http://schemas.openxmlformats.org/officeDocument/2006/relationships/hyperlink" Target="https://investor.hp.com/news-events/news/news-details/2026/HP-Inc--Reports-Fiscal-2026-First-Quarter-Results/default.aspx" TargetMode="External"/><Relationship Id="rId135" Type="http://schemas.openxmlformats.org/officeDocument/2006/relationships/hyperlink" Target="https://investor.hp.com/news-events/news/news-details/2026/HP-Inc--Reports-Fiscal-2026-First-Quarter-Results/default.aspx" TargetMode="External"/><Relationship Id="rId134" Type="http://schemas.openxmlformats.org/officeDocument/2006/relationships/hyperlink" Target="https://investor.hp.com/news-events/news/news-details/2026/HP-Inc--Reports-Fiscal-2026-First-Quarter-Results/default.aspx" TargetMode="External"/><Relationship Id="rId133" Type="http://schemas.openxmlformats.org/officeDocument/2006/relationships/hyperlink" Target="https://investor.hp.com/news-events/news/news-details/2026/HP-Inc--Reports-Fiscal-2026-First-Quarter-Results/default.aspx" TargetMode="External"/><Relationship Id="rId254" Type="http://schemas.openxmlformats.org/officeDocument/2006/relationships/drawing" Target="../drawings/drawing1.xml"/><Relationship Id="rId62" Type="http://schemas.openxmlformats.org/officeDocument/2006/relationships/hyperlink" Target="https://investor.hp.com/news-events/news/news-details/2026/HP-Inc--Reports-Fiscal-2026-First-Quarter-Results/default.aspx" TargetMode="External"/><Relationship Id="rId61" Type="http://schemas.openxmlformats.org/officeDocument/2006/relationships/hyperlink" Target="https://investor.hp.com/news-events/news/news-details/2026/HP-Inc--Reports-Fiscal-2026-First-Quarter-Results/default.aspx" TargetMode="External"/><Relationship Id="rId64" Type="http://schemas.openxmlformats.org/officeDocument/2006/relationships/hyperlink" Target="https://investor.hp.com/news-events/news/news-details/2026/HP-Inc--Reports-Fiscal-2026-First-Quarter-Results/default.aspx" TargetMode="External"/><Relationship Id="rId63" Type="http://schemas.openxmlformats.org/officeDocument/2006/relationships/hyperlink" Target="https://investor.hp.com/news-events/news/news-details/2026/HP-Inc--Reports-Fiscal-2026-First-Quarter-Results/default.aspx" TargetMode="External"/><Relationship Id="rId66" Type="http://schemas.openxmlformats.org/officeDocument/2006/relationships/hyperlink" Target="https://investor.hp.com/news-events/news/news-details/2026/HP-Inc--Reports-Fiscal-2026-First-Quarter-Results/default.aspx" TargetMode="External"/><Relationship Id="rId172" Type="http://schemas.openxmlformats.org/officeDocument/2006/relationships/hyperlink" Target="https://investor.hp.com/news-events/news/news-details/2026/HP-Inc--Reports-Fiscal-2026-First-Quarter-Results/default.aspx" TargetMode="External"/><Relationship Id="rId65" Type="http://schemas.openxmlformats.org/officeDocument/2006/relationships/hyperlink" Target="https://investor.hp.com/news-events/news/news-details/2026/HP-Inc--Reports-Fiscal-2026-First-Quarter-Results/default.aspx" TargetMode="External"/><Relationship Id="rId171" Type="http://schemas.openxmlformats.org/officeDocument/2006/relationships/hyperlink" Target="https://investor.hp.com/news-events/news/news-details/2026/HP-Inc--Reports-Fiscal-2026-Third-Quarter-Results/default.aspx" TargetMode="External"/><Relationship Id="rId68" Type="http://schemas.openxmlformats.org/officeDocument/2006/relationships/hyperlink" Target="https://investor.hp.com/news-events/news/news-details/2026/HP-Inc--Reports-Fiscal-2026-First-Quarter-Results/default.aspx" TargetMode="External"/><Relationship Id="rId170" Type="http://schemas.openxmlformats.org/officeDocument/2006/relationships/hyperlink" Target="https://investor.hp.com/news-events/news/news-details/2026/HP-Inc--Reports-Fiscal-2026-Third-Quarter-Results/default.aspx" TargetMode="External"/><Relationship Id="rId67" Type="http://schemas.openxmlformats.org/officeDocument/2006/relationships/hyperlink" Target="https://investor.hp.com/news-events/news/news-details/2026/HP-Inc--Reports-Fiscal-2026-First-Quarter-Results/default.aspx" TargetMode="External"/><Relationship Id="rId60" Type="http://schemas.openxmlformats.org/officeDocument/2006/relationships/hyperlink" Target="https://investor.hp.com/news-events/news/news-details/2026/HP-Inc--Reports-Fiscal-2026-First-Quarter-Results/default.aspx" TargetMode="External"/><Relationship Id="rId165" Type="http://schemas.openxmlformats.org/officeDocument/2006/relationships/hyperlink" Target="https://investor.hp.com/news-events/news/news-details/2026/HP-Inc--Reports-Fiscal-2026-Third-Quarter-Results/default.aspx" TargetMode="External"/><Relationship Id="rId69" Type="http://schemas.openxmlformats.org/officeDocument/2006/relationships/hyperlink" Target="https://investor.hp.com/news-events/news/news-details/2026/HP-Inc--Reports-Fiscal-2026-First-Quarter-Results/default.aspx" TargetMode="External"/><Relationship Id="rId164" Type="http://schemas.openxmlformats.org/officeDocument/2006/relationships/hyperlink" Target="https://investor.hp.com/news-events/news/news-details/2026/HP-Inc--Reports-Fiscal-2026-Third-Quarter-Results/default.aspx" TargetMode="External"/><Relationship Id="rId163" Type="http://schemas.openxmlformats.org/officeDocument/2006/relationships/hyperlink" Target="https://investor.hp.com/news-events/news/news-details/2026/HP-Inc--Reports-Fiscal-2026-Third-Quarter-Results/default.aspx" TargetMode="External"/><Relationship Id="rId162" Type="http://schemas.openxmlformats.org/officeDocument/2006/relationships/hyperlink" Target="https://investor.hp.com/news-events/news/news-details/2026/HP-Inc--Reports-Fiscal-2026-Third-Quarter-Results/default.aspx" TargetMode="External"/><Relationship Id="rId169" Type="http://schemas.openxmlformats.org/officeDocument/2006/relationships/hyperlink" Target="https://investor.hp.com/news-events/news/news-details/2026/HP-Inc--Reports-Fiscal-2026-Third-Quarter-Results/default.aspx" TargetMode="External"/><Relationship Id="rId168" Type="http://schemas.openxmlformats.org/officeDocument/2006/relationships/hyperlink" Target="https://investor.hp.com/news-events/news/news-details/2026/HP-Inc--Reports-Fiscal-2026-Third-Quarter-Results/default.aspx" TargetMode="External"/><Relationship Id="rId167" Type="http://schemas.openxmlformats.org/officeDocument/2006/relationships/hyperlink" Target="https://investor.hp.com/news-events/news/news-details/2026/HP-Inc--Reports-Fiscal-2026-Third-Quarter-Results/default.aspx" TargetMode="External"/><Relationship Id="rId166" Type="http://schemas.openxmlformats.org/officeDocument/2006/relationships/hyperlink" Target="https://investor.hp.com/news-events/news/news-details/2026/HP-Inc--Reports-Fiscal-2026-Third-Quarter-Results/default.aspx" TargetMode="External"/><Relationship Id="rId51" Type="http://schemas.openxmlformats.org/officeDocument/2006/relationships/hyperlink" Target="https://investor.hp.com/news-events/news/news-details/2026/HP-Inc--Reports-Fiscal-2026-First-Quarter-Results/default.aspx" TargetMode="External"/><Relationship Id="rId50" Type="http://schemas.openxmlformats.org/officeDocument/2006/relationships/hyperlink" Target="https://investor.hp.com/news-events/news/news-details/2026/HP-Inc--Reports-Fiscal-2026-First-Quarter-Results/default.aspx" TargetMode="External"/><Relationship Id="rId53" Type="http://schemas.openxmlformats.org/officeDocument/2006/relationships/hyperlink" Target="https://investor.hp.com/news-events/news/news-details/2026/HP-Inc--Reports-Fiscal-2026-First-Quarter-Results/default.aspx" TargetMode="External"/><Relationship Id="rId52" Type="http://schemas.openxmlformats.org/officeDocument/2006/relationships/hyperlink" Target="https://investor.hp.com/news-events/news/news-details/2026/HP-Inc--Reports-Fiscal-2026-First-Quarter-Results/default.aspx" TargetMode="External"/><Relationship Id="rId55" Type="http://schemas.openxmlformats.org/officeDocument/2006/relationships/hyperlink" Target="https://investor.hp.com/news-events/news/news-details/2026/HP-Inc--Reports-Fiscal-2026-First-Quarter-Results/default.aspx" TargetMode="External"/><Relationship Id="rId161" Type="http://schemas.openxmlformats.org/officeDocument/2006/relationships/hyperlink" Target="https://investor.hp.com/news-events/news/news-details/2026/HP-Inc--Reports-Fiscal-2026-Third-Quarter-Results/default.aspx" TargetMode="External"/><Relationship Id="rId54" Type="http://schemas.openxmlformats.org/officeDocument/2006/relationships/hyperlink" Target="https://investor.hp.com/news-events/news/news-details/2026/HP-Inc--Reports-Fiscal-2026-First-Quarter-Results/default.aspx" TargetMode="External"/><Relationship Id="rId160" Type="http://schemas.openxmlformats.org/officeDocument/2006/relationships/hyperlink" Target="https://investor.hp.com/news-events/news/news-details/2026/HP-Inc--Reports-Fiscal-2026-Third-Quarter-Results/default.aspx" TargetMode="External"/><Relationship Id="rId57" Type="http://schemas.openxmlformats.org/officeDocument/2006/relationships/hyperlink" Target="https://investor.hp.com/news-events/news/news-details/2026/HP-Inc--Reports-Fiscal-2026-First-Quarter-Results/default.aspx" TargetMode="External"/><Relationship Id="rId56" Type="http://schemas.openxmlformats.org/officeDocument/2006/relationships/hyperlink" Target="https://investor.hp.com/news-events/news/news-details/2026/HP-Inc--Reports-Fiscal-2026-First-Quarter-Results/default.aspx" TargetMode="External"/><Relationship Id="rId159" Type="http://schemas.openxmlformats.org/officeDocument/2006/relationships/hyperlink" Target="https://investor.hp.com/news-events/news/news-details/2026/HP-Inc--Reports-Fiscal-2026-Third-Quarter-Results/default.aspx" TargetMode="External"/><Relationship Id="rId59" Type="http://schemas.openxmlformats.org/officeDocument/2006/relationships/hyperlink" Target="https://investor.hp.com/news-events/news/news-details/2026/HP-Inc--Reports-Fiscal-2026-First-Quarter-Results/default.aspx" TargetMode="External"/><Relationship Id="rId154" Type="http://schemas.openxmlformats.org/officeDocument/2006/relationships/hyperlink" Target="https://investor.hp.com/news-events/news/news-details/2026/HP-Inc--Reports-Fiscal-2026-Third-Quarter-Results/default.aspx" TargetMode="External"/><Relationship Id="rId58" Type="http://schemas.openxmlformats.org/officeDocument/2006/relationships/hyperlink" Target="https://investor.hp.com/news-events/news/news-details/2026/HP-Inc--Reports-Fiscal-2026-First-Quarter-Results/default.aspx" TargetMode="External"/><Relationship Id="rId153" Type="http://schemas.openxmlformats.org/officeDocument/2006/relationships/hyperlink" Target="https://investor.hp.com/news-events/news/news-details/2026/HP-Inc--Reports-Fiscal-2026-First-Quarter-Results/default.aspx" TargetMode="External"/><Relationship Id="rId152" Type="http://schemas.openxmlformats.org/officeDocument/2006/relationships/hyperlink" Target="https://investor.hp.com/news-events/news/news-details/2026/HP-Inc--Reports-Fiscal-2026-First-Quarter-Results/default.aspx" TargetMode="External"/><Relationship Id="rId151" Type="http://schemas.openxmlformats.org/officeDocument/2006/relationships/hyperlink" Target="https://investor.hp.com/news-events/news/news-details/2026/HP-Inc--Reports-Fiscal-2026-First-Quarter-Results/default.aspx" TargetMode="External"/><Relationship Id="rId158" Type="http://schemas.openxmlformats.org/officeDocument/2006/relationships/hyperlink" Target="https://investor.hp.com/news-events/news/news-details/2026/HP-Inc--Reports-Fiscal-2026-Third-Quarter-Results/default.aspx" TargetMode="External"/><Relationship Id="rId157" Type="http://schemas.openxmlformats.org/officeDocument/2006/relationships/hyperlink" Target="https://investor.hp.com/news-events/news/news-details/2026/HP-Inc--Reports-Fiscal-2026-Third-Quarter-Results/default.aspx" TargetMode="External"/><Relationship Id="rId156" Type="http://schemas.openxmlformats.org/officeDocument/2006/relationships/hyperlink" Target="https://investor.hp.com/news-events/news/news-details/2026/HP-Inc--Reports-Fiscal-2026-Third-Quarter-Results/default.aspx" TargetMode="External"/><Relationship Id="rId155" Type="http://schemas.openxmlformats.org/officeDocument/2006/relationships/hyperlink" Target="https://investor.hp.com/news-events/news/news-details/2026/HP-Inc--Reports-Fiscal-2026-Third-Quarter-Results/default.aspx" TargetMode="External"/><Relationship Id="rId107" Type="http://schemas.openxmlformats.org/officeDocument/2006/relationships/hyperlink" Target="https://investor.hp.com/news-events/news/news-details/2026/HP-Inc--Reports-Fiscal-2026-First-Quarter-Results/default.aspx" TargetMode="External"/><Relationship Id="rId228" Type="http://schemas.openxmlformats.org/officeDocument/2006/relationships/hyperlink" Target="https://investor.hp.com/news-events/news/news-details/2026/HP-Inc--Reports-Fiscal-2026-Second-Quarter-Results/default.aspx" TargetMode="External"/><Relationship Id="rId106" Type="http://schemas.openxmlformats.org/officeDocument/2006/relationships/hyperlink" Target="https://investor.hp.com/news-events/news/news-details/2026/HP-Inc--Reports-Fiscal-2026-First-Quarter-Results/default.aspx" TargetMode="External"/><Relationship Id="rId227" Type="http://schemas.openxmlformats.org/officeDocument/2006/relationships/hyperlink" Target="https://investor.hp.com/news-events/news/news-details/2026/HP-Inc--Reports-Fiscal-2026-Second-Quarter-Results/default.aspx" TargetMode="External"/><Relationship Id="rId105" Type="http://schemas.openxmlformats.org/officeDocument/2006/relationships/hyperlink" Target="https://investor.hp.com/news-events/news/news-details/2026/HP-Inc--Reports-Fiscal-2026-First-Quarter-Results/default.aspx" TargetMode="External"/><Relationship Id="rId226" Type="http://schemas.openxmlformats.org/officeDocument/2006/relationships/hyperlink" Target="https://investor.hp.com/news-events/news/news-details/2026/HP-Inc--Reports-Fiscal-2026-Second-Quarter-Results/default.aspx" TargetMode="External"/><Relationship Id="rId104" Type="http://schemas.openxmlformats.org/officeDocument/2006/relationships/hyperlink" Target="https://investor.hp.com/news-events/news/news-details/2026/HP-Inc--Reports-Fiscal-2026-First-Quarter-Results/default.aspx" TargetMode="External"/><Relationship Id="rId225" Type="http://schemas.openxmlformats.org/officeDocument/2006/relationships/hyperlink" Target="https://investor.hp.com/news-events/news/news-details/2026/HP-Inc--Reports-Fiscal-2026-First-Quarter-Results/default.aspx" TargetMode="External"/><Relationship Id="rId109" Type="http://schemas.openxmlformats.org/officeDocument/2006/relationships/hyperlink" Target="https://investor.hp.com/news-events/news/news-details/2026/HP-Inc--Reports-Fiscal-2026-First-Quarter-Results/default.aspx" TargetMode="External"/><Relationship Id="rId108" Type="http://schemas.openxmlformats.org/officeDocument/2006/relationships/hyperlink" Target="https://investor.hp.com/news-events/news/news-details/2026/HP-Inc--Reports-Fiscal-2026-First-Quarter-Results/default.aspx" TargetMode="External"/><Relationship Id="rId229" Type="http://schemas.openxmlformats.org/officeDocument/2006/relationships/hyperlink" Target="https://investor.hp.com/news-events/news/news-details/2026/HP-Inc--Reports-Fiscal-2026-Third-Quarter-Results/default.aspx" TargetMode="External"/><Relationship Id="rId220" Type="http://schemas.openxmlformats.org/officeDocument/2006/relationships/hyperlink" Target="https://investor.hp.com/news-events/news/news-details/2026/HP-Inc--Reports-Fiscal-2026-Third-Quarter-Results/default.aspx" TargetMode="External"/><Relationship Id="rId103" Type="http://schemas.openxmlformats.org/officeDocument/2006/relationships/hyperlink" Target="https://investor.hp.com/news-events/news/news-details/2026/HP-Inc--Reports-Fiscal-2026-First-Quarter-Results/default.aspx" TargetMode="External"/><Relationship Id="rId224" Type="http://schemas.openxmlformats.org/officeDocument/2006/relationships/hyperlink" Target="https://investor.hp.com/news-events/news/news-details/2026/HP-Inc--Reports-Fiscal-2026-First-Quarter-Results/default.aspx" TargetMode="External"/><Relationship Id="rId102" Type="http://schemas.openxmlformats.org/officeDocument/2006/relationships/hyperlink" Target="https://investor.hp.com/news-events/news/news-details/2026/HP-Inc--Reports-Fiscal-2026-First-Quarter-Results/default.aspx" TargetMode="External"/><Relationship Id="rId223" Type="http://schemas.openxmlformats.org/officeDocument/2006/relationships/hyperlink" Target="https://investor.hp.com/news-events/news/news-details/2026/HP-Inc--Reports-Fiscal-2026-First-Quarter-Results/default.aspx" TargetMode="External"/><Relationship Id="rId101" Type="http://schemas.openxmlformats.org/officeDocument/2006/relationships/hyperlink" Target="https://investor.hp.com/news-events/news/news-details/2026/HP-Inc--Reports-Fiscal-2026-First-Quarter-Results/default.aspx" TargetMode="External"/><Relationship Id="rId222" Type="http://schemas.openxmlformats.org/officeDocument/2006/relationships/hyperlink" Target="https://investor.hp.com/news-events/news/news-details/2026/HP-Inc--Reports-Fiscal-2026-Third-Quarter-Results/default.aspx" TargetMode="External"/><Relationship Id="rId100" Type="http://schemas.openxmlformats.org/officeDocument/2006/relationships/hyperlink" Target="https://investor.hp.com/news-events/news/news-details/2026/HP-Inc--Reports-Fiscal-2026-First-Quarter-Results/default.aspx" TargetMode="External"/><Relationship Id="rId221" Type="http://schemas.openxmlformats.org/officeDocument/2006/relationships/hyperlink" Target="https://investor.hp.com/news-events/news/news-details/2026/HP-Inc--Reports-Fiscal-2026-Third-Quarter-Results/default.aspx" TargetMode="External"/><Relationship Id="rId217" Type="http://schemas.openxmlformats.org/officeDocument/2006/relationships/hyperlink" Target="https://investor.hp.com/news-events/news/news-details/2026/HP-Inc--Reports-Fiscal-2026-Third-Quarter-Results/default.aspx" TargetMode="External"/><Relationship Id="rId216" Type="http://schemas.openxmlformats.org/officeDocument/2006/relationships/hyperlink" Target="https://investor.hp.com/news-events/news/news-details/2026/HP-Inc--Reports-Fiscal-2026-First-Quarter-Results/default.aspx" TargetMode="External"/><Relationship Id="rId215" Type="http://schemas.openxmlformats.org/officeDocument/2006/relationships/hyperlink" Target="https://investor.hp.com/news-events/news/news-details/2026/HP-Inc--Reports-Fiscal-2026-First-Quarter-Results/default.aspx" TargetMode="External"/><Relationship Id="rId214" Type="http://schemas.openxmlformats.org/officeDocument/2006/relationships/hyperlink" Target="https://investor.hp.com/news-events/news/news-details/2026/HP-Inc--Reports-Fiscal-2026-First-Quarter-Results/default.aspx" TargetMode="External"/><Relationship Id="rId219" Type="http://schemas.openxmlformats.org/officeDocument/2006/relationships/hyperlink" Target="https://investor.hp.com/news-events/news/news-details/2026/HP-Inc--Reports-Fiscal-2026-Third-Quarter-Results/default.aspx" TargetMode="External"/><Relationship Id="rId218" Type="http://schemas.openxmlformats.org/officeDocument/2006/relationships/hyperlink" Target="https://investor.hp.com/news-events/news/news-details/2026/HP-Inc--Reports-Fiscal-2026-Third-Quarter-Results/default.aspx" TargetMode="External"/><Relationship Id="rId213" Type="http://schemas.openxmlformats.org/officeDocument/2006/relationships/hyperlink" Target="https://investor.hp.com/news-events/news/news-details/2026/HP-Inc--Reports-Fiscal-2026-First-Quarter-Results/default.aspx" TargetMode="External"/><Relationship Id="rId212" Type="http://schemas.openxmlformats.org/officeDocument/2006/relationships/hyperlink" Target="https://investor.hp.com/news-events/news/news-details/2026/HP-Inc--Reports-Fiscal-2026-First-Quarter-Results/default.aspx" TargetMode="External"/><Relationship Id="rId211" Type="http://schemas.openxmlformats.org/officeDocument/2006/relationships/hyperlink" Target="https://investor.hp.com/news-events/news/news-details/2026/HP-Inc--Reports-Fiscal-2026-First-Quarter-Results/default.aspx" TargetMode="External"/><Relationship Id="rId210" Type="http://schemas.openxmlformats.org/officeDocument/2006/relationships/hyperlink" Target="https://investor.hp.com/news-events/news/news-details/2026/HP-Inc--Reports-Fiscal-2026-First-Quarter-Results/default.aspx" TargetMode="External"/><Relationship Id="rId129" Type="http://schemas.openxmlformats.org/officeDocument/2006/relationships/hyperlink" Target="https://investor.hp.com/news-events/news/news-details/2026/HP-Inc--Reports-Fiscal-2026-First-Quarter-Results/default.aspx" TargetMode="External"/><Relationship Id="rId128" Type="http://schemas.openxmlformats.org/officeDocument/2006/relationships/hyperlink" Target="https://investor.hp.com/news-events/news/news-details/2026/HP-Inc--Reports-Fiscal-2026-First-Quarter-Results/default.aspx" TargetMode="External"/><Relationship Id="rId249" Type="http://schemas.openxmlformats.org/officeDocument/2006/relationships/hyperlink" Target="https://investor.hp.com/news-events/news/news-details/2026/HP-Inc--Reports-Fiscal-2026-First-Quarter-Results/default.aspx" TargetMode="External"/><Relationship Id="rId127" Type="http://schemas.openxmlformats.org/officeDocument/2006/relationships/hyperlink" Target="https://investor.hp.com/news-events/news/news-details/2026/HP-Inc--Reports-Fiscal-2026-First-Quarter-Results/default.aspx" TargetMode="External"/><Relationship Id="rId248" Type="http://schemas.openxmlformats.org/officeDocument/2006/relationships/hyperlink" Target="https://investor.hp.com/news-events/news/news-details/2026/HP-Inc--Reports-Fiscal-2026-First-Quarter-Results/default.aspx" TargetMode="External"/><Relationship Id="rId126" Type="http://schemas.openxmlformats.org/officeDocument/2006/relationships/hyperlink" Target="https://investor.hp.com/news-events/news/news-details/2026/HP-Inc--Reports-Fiscal-2026-First-Quarter-Results/default.aspx" TargetMode="External"/><Relationship Id="rId247" Type="http://schemas.openxmlformats.org/officeDocument/2006/relationships/hyperlink" Target="https://investor.hp.com/news-events/news/news-details/2026/HP-Inc--Reports-Fiscal-2026-Third-Quarter-Results/default.aspx" TargetMode="External"/><Relationship Id="rId121" Type="http://schemas.openxmlformats.org/officeDocument/2006/relationships/hyperlink" Target="https://investor.hp.com/news-events/news/news-details/2026/HP-Inc--Reports-Fiscal-2026-First-Quarter-Results/default.aspx" TargetMode="External"/><Relationship Id="rId242" Type="http://schemas.openxmlformats.org/officeDocument/2006/relationships/hyperlink" Target="https://investor.hp.com/news-events/news/news-details/2026/HP-Inc--Reports-Fiscal-2026-Third-Quarter-Results/default.aspx" TargetMode="External"/><Relationship Id="rId120" Type="http://schemas.openxmlformats.org/officeDocument/2006/relationships/hyperlink" Target="https://investor.hp.com/news-events/news/news-details/2026/HP-Inc--Reports-Fiscal-2026-First-Quarter-Results/default.aspx" TargetMode="External"/><Relationship Id="rId241" Type="http://schemas.openxmlformats.org/officeDocument/2006/relationships/hyperlink" Target="https://investor.hp.com/news-events/news/news-details/2026/HP-Inc--Reports-Fiscal-2026-Second-Quarter-Results/default.aspx" TargetMode="External"/><Relationship Id="rId240" Type="http://schemas.openxmlformats.org/officeDocument/2006/relationships/hyperlink" Target="https://investor.hp.com/news-events/news/news-details/2026/HP-Inc--Reports-Fiscal-2026-Second-Quarter-Results/default.aspx" TargetMode="External"/><Relationship Id="rId125" Type="http://schemas.openxmlformats.org/officeDocument/2006/relationships/hyperlink" Target="https://investor.hp.com/news-events/news/news-details/2026/HP-Inc--Reports-Fiscal-2026-First-Quarter-Results/default.aspx" TargetMode="External"/><Relationship Id="rId246" Type="http://schemas.openxmlformats.org/officeDocument/2006/relationships/hyperlink" Target="https://investor.hp.com/news-events/news/news-details/2026/HP-Inc--Reports-Fiscal-2026-Third-Quarter-Results/default.aspx" TargetMode="External"/><Relationship Id="rId124" Type="http://schemas.openxmlformats.org/officeDocument/2006/relationships/hyperlink" Target="https://investor.hp.com/news-events/news/news-details/2026/HP-Inc--Reports-Fiscal-2026-First-Quarter-Results/default.aspx" TargetMode="External"/><Relationship Id="rId245" Type="http://schemas.openxmlformats.org/officeDocument/2006/relationships/hyperlink" Target="https://investor.hp.com/news-events/news/news-details/2026/HP-Inc--Reports-Fiscal-2026-Third-Quarter-Results/default.aspx" TargetMode="External"/><Relationship Id="rId123" Type="http://schemas.openxmlformats.org/officeDocument/2006/relationships/hyperlink" Target="https://investor.hp.com/news-events/news/news-details/2026/HP-Inc--Reports-Fiscal-2026-First-Quarter-Results/default.aspx" TargetMode="External"/><Relationship Id="rId244" Type="http://schemas.openxmlformats.org/officeDocument/2006/relationships/hyperlink" Target="https://investor.hp.com/news-events/news/news-details/2026/HP-Inc--Reports-Fiscal-2026-Third-Quarter-Results/default.aspx" TargetMode="External"/><Relationship Id="rId122" Type="http://schemas.openxmlformats.org/officeDocument/2006/relationships/hyperlink" Target="https://investor.hp.com/news-events/news/news-details/2026/HP-Inc--Reports-Fiscal-2026-First-Quarter-Results/default.aspx" TargetMode="External"/><Relationship Id="rId243" Type="http://schemas.openxmlformats.org/officeDocument/2006/relationships/hyperlink" Target="https://investor.hp.com/news-events/news/news-details/2026/HP-Inc--Reports-Fiscal-2026-Third-Quarter-Results/default.aspx" TargetMode="External"/><Relationship Id="rId95" Type="http://schemas.openxmlformats.org/officeDocument/2006/relationships/hyperlink" Target="https://investor.hp.com/news-events/news/news-details/2026/HP-Inc--Reports-Fiscal-2026-First-Quarter-Results/default.aspx" TargetMode="External"/><Relationship Id="rId94" Type="http://schemas.openxmlformats.org/officeDocument/2006/relationships/hyperlink" Target="https://investor.hp.com/news-events/news/news-details/2026/HP-Inc--Reports-Fiscal-2026-First-Quarter-Results/default.aspx" TargetMode="External"/><Relationship Id="rId97" Type="http://schemas.openxmlformats.org/officeDocument/2006/relationships/hyperlink" Target="https://investor.hp.com/news-events/news/news-details/2026/HP-Inc--Reports-Fiscal-2026-First-Quarter-Results/default.aspx" TargetMode="External"/><Relationship Id="rId96" Type="http://schemas.openxmlformats.org/officeDocument/2006/relationships/hyperlink" Target="https://investor.hp.com/news-events/news/news-details/2026/HP-Inc--Reports-Fiscal-2026-First-Quarter-Results/default.aspx" TargetMode="External"/><Relationship Id="rId99" Type="http://schemas.openxmlformats.org/officeDocument/2006/relationships/hyperlink" Target="https://investor.hp.com/news-events/news/news-details/2026/HP-Inc--Reports-Fiscal-2026-First-Quarter-Results/default.aspx" TargetMode="External"/><Relationship Id="rId98" Type="http://schemas.openxmlformats.org/officeDocument/2006/relationships/hyperlink" Target="https://investor.hp.com/news-events/news/news-details/2026/HP-Inc--Reports-Fiscal-2026-First-Quarter-Results/default.aspx" TargetMode="External"/><Relationship Id="rId91" Type="http://schemas.openxmlformats.org/officeDocument/2006/relationships/hyperlink" Target="https://investor.hp.com/news-events/news/news-details/2026/HP-Inc--Reports-Fiscal-2026-First-Quarter-Results/default.aspx" TargetMode="External"/><Relationship Id="rId90" Type="http://schemas.openxmlformats.org/officeDocument/2006/relationships/hyperlink" Target="https://investor.hp.com/news-events/news/news-details/2026/HP-Inc--Reports-Fiscal-2026-First-Quarter-Results/default.aspx" TargetMode="External"/><Relationship Id="rId93" Type="http://schemas.openxmlformats.org/officeDocument/2006/relationships/hyperlink" Target="https://investor.hp.com/news-events/news/news-details/2026/HP-Inc--Reports-Fiscal-2026-First-Quarter-Results/default.aspx" TargetMode="External"/><Relationship Id="rId92" Type="http://schemas.openxmlformats.org/officeDocument/2006/relationships/hyperlink" Target="https://investor.hp.com/news-events/news/news-details/2026/HP-Inc--Reports-Fiscal-2026-First-Quarter-Results/default.aspx" TargetMode="External"/><Relationship Id="rId118" Type="http://schemas.openxmlformats.org/officeDocument/2006/relationships/hyperlink" Target="https://investor.hp.com/news-events/news/news-details/2026/HP-Inc--Reports-Fiscal-2026-First-Quarter-Results/default.aspx" TargetMode="External"/><Relationship Id="rId239" Type="http://schemas.openxmlformats.org/officeDocument/2006/relationships/hyperlink" Target="https://investor.hp.com/news-events/news/news-details/2026/HP-Inc--Reports-Fiscal-2026-Second-Quarter-Results/default.aspx" TargetMode="External"/><Relationship Id="rId117" Type="http://schemas.openxmlformats.org/officeDocument/2006/relationships/hyperlink" Target="https://investor.hp.com/news-events/news/news-details/2026/HP-Inc--Reports-Fiscal-2026-First-Quarter-Results/default.aspx" TargetMode="External"/><Relationship Id="rId238" Type="http://schemas.openxmlformats.org/officeDocument/2006/relationships/hyperlink" Target="https://investor.hp.com/news-events/news/news-details/2026/HP-Inc--Reports-Fiscal-2026-Second-Quarter-Results/default.aspx" TargetMode="External"/><Relationship Id="rId116" Type="http://schemas.openxmlformats.org/officeDocument/2006/relationships/hyperlink" Target="https://investor.hp.com/news-events/news/news-details/2026/HP-Inc--Reports-Fiscal-2026-First-Quarter-Results/default.aspx" TargetMode="External"/><Relationship Id="rId237" Type="http://schemas.openxmlformats.org/officeDocument/2006/relationships/hyperlink" Target="https://investor.hp.com/news-events/news/news-details/2026/HP-Inc--Reports-Fiscal-2026-Second-Quarter-Results/default.aspx" TargetMode="External"/><Relationship Id="rId115" Type="http://schemas.openxmlformats.org/officeDocument/2006/relationships/hyperlink" Target="https://investor.hp.com/news-events/news/news-details/2026/HP-Inc--Reports-Fiscal-2026-First-Quarter-Results/default.aspx" TargetMode="External"/><Relationship Id="rId236" Type="http://schemas.openxmlformats.org/officeDocument/2006/relationships/hyperlink" Target="https://investor.hp.com/news-events/news/news-details/2026/HP-Inc--Reports-Fiscal-2026-Second-Quarter-Results/default.aspx" TargetMode="External"/><Relationship Id="rId119" Type="http://schemas.openxmlformats.org/officeDocument/2006/relationships/hyperlink" Target="https://investor.hp.com/news-events/news/news-details/2026/HP-Inc--Reports-Fiscal-2026-First-Quarter-Results/default.aspx" TargetMode="External"/><Relationship Id="rId110" Type="http://schemas.openxmlformats.org/officeDocument/2006/relationships/hyperlink" Target="https://investor.hp.com/news-events/news/news-details/2026/HP-Inc--Reports-Fiscal-2026-First-Quarter-Results/default.aspx" TargetMode="External"/><Relationship Id="rId231" Type="http://schemas.openxmlformats.org/officeDocument/2006/relationships/hyperlink" Target="https://investor.hp.com/news-events/news/news-details/2026/HP-Inc--Reports-Fiscal-2026-Third-Quarter-Results/default.aspx" TargetMode="External"/><Relationship Id="rId230" Type="http://schemas.openxmlformats.org/officeDocument/2006/relationships/hyperlink" Target="https://investor.hp.com/news-events/news/news-details/2026/HP-Inc--Reports-Fiscal-2026-Third-Quarter-Results/default.aspx" TargetMode="External"/><Relationship Id="rId114" Type="http://schemas.openxmlformats.org/officeDocument/2006/relationships/hyperlink" Target="https://investor.hp.com/news-events/news/news-details/2026/HP-Inc--Reports-Fiscal-2026-First-Quarter-Results/default.aspx" TargetMode="External"/><Relationship Id="rId235" Type="http://schemas.openxmlformats.org/officeDocument/2006/relationships/hyperlink" Target="https://investor.hp.com/news-events/news/news-details/2026/HP-Inc--Reports-Fiscal-2026-First-Quarter-Results/default.aspx" TargetMode="External"/><Relationship Id="rId113" Type="http://schemas.openxmlformats.org/officeDocument/2006/relationships/hyperlink" Target="https://investor.hp.com/news-events/news/news-details/2026/HP-Inc--Reports-Fiscal-2026-First-Quarter-Results/default.aspx" TargetMode="External"/><Relationship Id="rId234" Type="http://schemas.openxmlformats.org/officeDocument/2006/relationships/hyperlink" Target="https://investor.hp.com/news-events/news/news-details/2026/HP-Inc--Reports-Fiscal-2026-First-Quarter-Results/default.aspx" TargetMode="External"/><Relationship Id="rId112" Type="http://schemas.openxmlformats.org/officeDocument/2006/relationships/hyperlink" Target="https://investor.hp.com/news-events/news/news-details/2026/HP-Inc--Reports-Fiscal-2026-First-Quarter-Results/default.aspx" TargetMode="External"/><Relationship Id="rId233" Type="http://schemas.openxmlformats.org/officeDocument/2006/relationships/hyperlink" Target="https://investor.hp.com/news-events/news/news-details/2026/HP-Inc--Reports-Fiscal-2026-First-Quarter-Results/default.aspx" TargetMode="External"/><Relationship Id="rId111" Type="http://schemas.openxmlformats.org/officeDocument/2006/relationships/hyperlink" Target="https://investor.hp.com/news-events/news/news-details/2026/HP-Inc--Reports-Fiscal-2026-First-Quarter-Results/default.aspx" TargetMode="External"/><Relationship Id="rId232" Type="http://schemas.openxmlformats.org/officeDocument/2006/relationships/hyperlink" Target="https://investor.hp.com/news-events/news/news-details/2026/HP-Inc--Reports-Fiscal-2026-First-Quarter-Results/default.aspx" TargetMode="External"/><Relationship Id="rId206" Type="http://schemas.openxmlformats.org/officeDocument/2006/relationships/hyperlink" Target="https://investor.hp.com/news-events/news/news-details/2026/HP-Inc--Reports-Fiscal-2026-First-Quarter-Results/default.aspx" TargetMode="External"/><Relationship Id="rId205" Type="http://schemas.openxmlformats.org/officeDocument/2006/relationships/hyperlink" Target="https://investor.hp.com/news-events/news/news-details/2026/HP-Inc--Reports-Fiscal-2026-First-Quarter-Results/default.aspx" TargetMode="External"/><Relationship Id="rId204" Type="http://schemas.openxmlformats.org/officeDocument/2006/relationships/hyperlink" Target="https://investor.hp.com/news-events/news/news-details/2026/HP-Inc--Reports-Fiscal-2026-First-Quarter-Results/default.aspx" TargetMode="External"/><Relationship Id="rId203" Type="http://schemas.openxmlformats.org/officeDocument/2006/relationships/hyperlink" Target="https://investor.hp.com/news-events/news/news-details/2026/HP-Inc--Reports-Fiscal-2026-First-Quarter-Results/default.aspx" TargetMode="External"/><Relationship Id="rId209" Type="http://schemas.openxmlformats.org/officeDocument/2006/relationships/hyperlink" Target="https://investor.hp.com/news-events/news/news-details/2026/HP-Inc--Reports-Fiscal-2026-First-Quarter-Results/default.aspx" TargetMode="External"/><Relationship Id="rId208" Type="http://schemas.openxmlformats.org/officeDocument/2006/relationships/hyperlink" Target="https://investor.hp.com/news-events/news/news-details/2026/HP-Inc--Reports-Fiscal-2026-First-Quarter-Results/default.aspx" TargetMode="External"/><Relationship Id="rId207" Type="http://schemas.openxmlformats.org/officeDocument/2006/relationships/hyperlink" Target="https://investor.hp.com/news-events/news/news-details/2026/HP-Inc--Reports-Fiscal-2026-First-Quarter-Results/default.aspx" TargetMode="External"/><Relationship Id="rId202" Type="http://schemas.openxmlformats.org/officeDocument/2006/relationships/hyperlink" Target="https://investor.hp.com/news-events/news/news-details/2026/HP-Inc--Reports-Fiscal-2026-First-Quarter-Results/default.aspx" TargetMode="External"/><Relationship Id="rId201" Type="http://schemas.openxmlformats.org/officeDocument/2006/relationships/hyperlink" Target="https://investor.hp.com/news-events/news/news-details/2026/HP-Inc--Reports-Fiscal-2026-First-Quarter-Results/default.aspx" TargetMode="External"/><Relationship Id="rId200" Type="http://schemas.openxmlformats.org/officeDocument/2006/relationships/hyperlink" Target="https://investor.hp.com/news-events/news/news-details/2026/HP-Inc--Reports-Fiscal-2026-First-Quarter-Results/default.aspx" TargetMode="External"/></Relationships>
</file>

<file path=xl/worksheets/_rels/sheet2.xml.rels><?xml version="1.0" encoding="UTF-8" standalone="yes"?><Relationships xmlns="http://schemas.openxmlformats.org/package/2006/relationships"><Relationship Id="rId31" Type="http://schemas.openxmlformats.org/officeDocument/2006/relationships/hyperlink" Target="https://www.sec.gov/Archives/edgar/data/47217/000004721726000051/" TargetMode="External"/><Relationship Id="rId30" Type="http://schemas.openxmlformats.org/officeDocument/2006/relationships/hyperlink" Target="https://www.sec.gov/Archives/edgar/data/47217/000004721726000029/" TargetMode="External"/><Relationship Id="rId33" Type="http://schemas.openxmlformats.org/officeDocument/2006/relationships/hyperlink" Target="https://www.sec.gov/Archives/edgar/data/47217/000004721726000051/" TargetMode="External"/><Relationship Id="rId32" Type="http://schemas.openxmlformats.org/officeDocument/2006/relationships/hyperlink" Target="https://www.sec.gov/Archives/edgar/data/47217/000004721726000051/" TargetMode="External"/><Relationship Id="rId34" Type="http://schemas.openxmlformats.org/officeDocument/2006/relationships/drawing" Target="../drawings/drawing2.xml"/><Relationship Id="rId20" Type="http://schemas.openxmlformats.org/officeDocument/2006/relationships/hyperlink" Target="https://www.sec.gov/Archives/edgar/data/47217/000004721725000063/" TargetMode="External"/><Relationship Id="rId22" Type="http://schemas.openxmlformats.org/officeDocument/2006/relationships/hyperlink" Target="https://www.sec.gov/Archives/edgar/data/47217/000004721725000071/" TargetMode="External"/><Relationship Id="rId21" Type="http://schemas.openxmlformats.org/officeDocument/2006/relationships/hyperlink" Target="https://www.sec.gov/Archives/edgar/data/47217/000004721725000063/" TargetMode="External"/><Relationship Id="rId24" Type="http://schemas.openxmlformats.org/officeDocument/2006/relationships/hyperlink" Target="https://www.sec.gov/Archives/edgar/data/47217/000004721725000071/" TargetMode="External"/><Relationship Id="rId23" Type="http://schemas.openxmlformats.org/officeDocument/2006/relationships/hyperlink" Target="https://www.sec.gov/Archives/edgar/data/47217/000004721725000071/" TargetMode="External"/><Relationship Id="rId26" Type="http://schemas.openxmlformats.org/officeDocument/2006/relationships/hyperlink" Target="https://www.sec.gov/Archives/edgar/data/47217/000004721726000011/" TargetMode="External"/><Relationship Id="rId25" Type="http://schemas.openxmlformats.org/officeDocument/2006/relationships/hyperlink" Target="https://www.sec.gov/Archives/edgar/data/47217/000004721726000011/" TargetMode="External"/><Relationship Id="rId28" Type="http://schemas.openxmlformats.org/officeDocument/2006/relationships/hyperlink" Target="https://www.sec.gov/Archives/edgar/data/47217/000004721726000029/" TargetMode="External"/><Relationship Id="rId27" Type="http://schemas.openxmlformats.org/officeDocument/2006/relationships/hyperlink" Target="https://www.sec.gov/Archives/edgar/data/47217/000004721726000011/" TargetMode="External"/><Relationship Id="rId29" Type="http://schemas.openxmlformats.org/officeDocument/2006/relationships/hyperlink" Target="https://www.sec.gov/Archives/edgar/data/47217/000004721726000029/" TargetMode="External"/><Relationship Id="rId11" Type="http://schemas.openxmlformats.org/officeDocument/2006/relationships/hyperlink" Target="https://www.sec.gov/Archives/edgar/data/47217/000004721724000080/" TargetMode="External"/><Relationship Id="rId10" Type="http://schemas.openxmlformats.org/officeDocument/2006/relationships/hyperlink" Target="https://www.sec.gov/Archives/edgar/data/47217/000004721724000080/" TargetMode="External"/><Relationship Id="rId13" Type="http://schemas.openxmlformats.org/officeDocument/2006/relationships/hyperlink" Target="https://www.sec.gov/Archives/edgar/data/47217/000004721725000025/" TargetMode="External"/><Relationship Id="rId12" Type="http://schemas.openxmlformats.org/officeDocument/2006/relationships/hyperlink" Target="https://www.sec.gov/Archives/edgar/data/47217/000004721724000080/" TargetMode="External"/><Relationship Id="rId15" Type="http://schemas.openxmlformats.org/officeDocument/2006/relationships/hyperlink" Target="https://www.sec.gov/Archives/edgar/data/47217/000004721725000025/" TargetMode="External"/><Relationship Id="rId14" Type="http://schemas.openxmlformats.org/officeDocument/2006/relationships/hyperlink" Target="https://www.sec.gov/Archives/edgar/data/47217/000004721725000025/" TargetMode="External"/><Relationship Id="rId17" Type="http://schemas.openxmlformats.org/officeDocument/2006/relationships/hyperlink" Target="https://www.sec.gov/Archives/edgar/data/47217/000004721725000043/" TargetMode="External"/><Relationship Id="rId16" Type="http://schemas.openxmlformats.org/officeDocument/2006/relationships/hyperlink" Target="https://www.sec.gov/Archives/edgar/data/47217/000004721725000043/" TargetMode="External"/><Relationship Id="rId19" Type="http://schemas.openxmlformats.org/officeDocument/2006/relationships/hyperlink" Target="https://www.sec.gov/Archives/edgar/data/47217/000004721725000063/" TargetMode="External"/><Relationship Id="rId18" Type="http://schemas.openxmlformats.org/officeDocument/2006/relationships/hyperlink" Target="https://www.sec.gov/Archives/edgar/data/47217/000004721725000043/" TargetMode="External"/><Relationship Id="rId1" Type="http://schemas.openxmlformats.org/officeDocument/2006/relationships/hyperlink" Target="https://www.sec.gov/Archives/edgar/data/47217/000004721725000025/" TargetMode="External"/><Relationship Id="rId2" Type="http://schemas.openxmlformats.org/officeDocument/2006/relationships/hyperlink" Target="https://www.sec.gov/Archives/edgar/data/47217/000004721725000025/" TargetMode="External"/><Relationship Id="rId3" Type="http://schemas.openxmlformats.org/officeDocument/2006/relationships/hyperlink" Target="https://www.sec.gov/Archives/edgar/data/47217/000004721725000025/" TargetMode="External"/><Relationship Id="rId4" Type="http://schemas.openxmlformats.org/officeDocument/2006/relationships/hyperlink" Target="https://www.sec.gov/Archives/edgar/data/47217/000004721725000043/" TargetMode="External"/><Relationship Id="rId9" Type="http://schemas.openxmlformats.org/officeDocument/2006/relationships/hyperlink" Target="https://www.sec.gov/Archives/edgar/data/47217/000004721725000063/" TargetMode="External"/><Relationship Id="rId5" Type="http://schemas.openxmlformats.org/officeDocument/2006/relationships/hyperlink" Target="https://www.sec.gov/Archives/edgar/data/47217/000004721725000043/" TargetMode="External"/><Relationship Id="rId6" Type="http://schemas.openxmlformats.org/officeDocument/2006/relationships/hyperlink" Target="https://www.sec.gov/Archives/edgar/data/47217/000004721725000043/" TargetMode="External"/><Relationship Id="rId7" Type="http://schemas.openxmlformats.org/officeDocument/2006/relationships/hyperlink" Target="https://www.sec.gov/Archives/edgar/data/47217/000004721725000063/" TargetMode="External"/><Relationship Id="rId8" Type="http://schemas.openxmlformats.org/officeDocument/2006/relationships/hyperlink" Target="https://www.sec.gov/Archives/edgar/data/47217/000004721725000063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2.25"/>
    <col customWidth="1" min="5" max="5" width="17.25"/>
    <col customWidth="1" min="9" max="9" width="25.38"/>
  </cols>
  <sheetData>
    <row r="1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</row>
    <row r="2">
      <c r="A2" s="1" t="s">
        <v>13</v>
      </c>
      <c r="B2" s="2">
        <v>45322.0</v>
      </c>
      <c r="C2" s="1" t="s">
        <v>14</v>
      </c>
      <c r="D2" s="1" t="s">
        <v>15</v>
      </c>
      <c r="E2" s="1" t="s">
        <v>17</v>
      </c>
      <c r="F2" s="1" t="s">
        <v>18</v>
      </c>
      <c r="G2" s="1">
        <v>6045.0</v>
      </c>
      <c r="H2" s="1" t="s">
        <v>20</v>
      </c>
      <c r="I2" s="1" t="s">
        <v>21</v>
      </c>
      <c r="J2" s="1" t="s">
        <v>22</v>
      </c>
      <c r="K2" s="5" t="s">
        <v>24</v>
      </c>
    </row>
    <row r="3">
      <c r="A3" s="1" t="s">
        <v>13</v>
      </c>
      <c r="B3" s="2">
        <v>45322.0</v>
      </c>
      <c r="C3" s="1" t="s">
        <v>14</v>
      </c>
      <c r="D3" s="1" t="s">
        <v>15</v>
      </c>
      <c r="E3" s="1" t="s">
        <v>17</v>
      </c>
      <c r="F3" s="1" t="s">
        <v>18</v>
      </c>
      <c r="G3" s="1">
        <v>6045.0</v>
      </c>
      <c r="H3" s="1" t="s">
        <v>20</v>
      </c>
      <c r="I3" s="1" t="s">
        <v>36</v>
      </c>
      <c r="J3" s="1" t="s">
        <v>22</v>
      </c>
      <c r="K3" s="5" t="s">
        <v>24</v>
      </c>
    </row>
    <row r="4">
      <c r="A4" s="1" t="s">
        <v>37</v>
      </c>
      <c r="B4" s="2">
        <v>45412.0</v>
      </c>
      <c r="C4" s="1" t="s">
        <v>14</v>
      </c>
      <c r="D4" s="1" t="s">
        <v>15</v>
      </c>
      <c r="E4" s="1" t="s">
        <v>17</v>
      </c>
      <c r="F4" s="1" t="s">
        <v>18</v>
      </c>
      <c r="G4" s="1">
        <v>6242.0</v>
      </c>
      <c r="H4" s="1" t="s">
        <v>20</v>
      </c>
      <c r="I4" s="1" t="s">
        <v>21</v>
      </c>
      <c r="J4" s="1" t="s">
        <v>22</v>
      </c>
      <c r="K4" s="5" t="s">
        <v>24</v>
      </c>
    </row>
    <row r="5">
      <c r="A5" s="1" t="s">
        <v>37</v>
      </c>
      <c r="B5" s="2">
        <v>45412.0</v>
      </c>
      <c r="C5" s="1" t="s">
        <v>14</v>
      </c>
      <c r="D5" s="1" t="s">
        <v>15</v>
      </c>
      <c r="E5" s="1" t="s">
        <v>17</v>
      </c>
      <c r="F5" s="1" t="s">
        <v>18</v>
      </c>
      <c r="G5" s="1">
        <v>6242.0</v>
      </c>
      <c r="H5" s="1" t="s">
        <v>20</v>
      </c>
      <c r="I5" s="1" t="s">
        <v>36</v>
      </c>
      <c r="J5" s="1" t="s">
        <v>22</v>
      </c>
      <c r="K5" s="5" t="s">
        <v>24</v>
      </c>
    </row>
    <row r="6">
      <c r="A6" s="1" t="s">
        <v>39</v>
      </c>
      <c r="B6" s="2">
        <v>45504.0</v>
      </c>
      <c r="C6" s="1" t="s">
        <v>14</v>
      </c>
      <c r="D6" s="1" t="s">
        <v>15</v>
      </c>
      <c r="E6" s="1" t="s">
        <v>17</v>
      </c>
      <c r="F6" s="1" t="s">
        <v>18</v>
      </c>
      <c r="G6" s="1">
        <v>6677.0</v>
      </c>
      <c r="H6" s="1" t="s">
        <v>20</v>
      </c>
      <c r="I6" s="1" t="s">
        <v>21</v>
      </c>
      <c r="J6" s="1" t="s">
        <v>22</v>
      </c>
      <c r="K6" s="5" t="s">
        <v>24</v>
      </c>
    </row>
    <row r="7">
      <c r="A7" s="1" t="s">
        <v>39</v>
      </c>
      <c r="B7" s="2">
        <v>45504.0</v>
      </c>
      <c r="C7" s="1" t="s">
        <v>14</v>
      </c>
      <c r="D7" s="1" t="s">
        <v>15</v>
      </c>
      <c r="E7" s="1" t="s">
        <v>17</v>
      </c>
      <c r="F7" s="1" t="s">
        <v>18</v>
      </c>
      <c r="G7" s="1">
        <v>6677.0</v>
      </c>
      <c r="H7" s="1" t="s">
        <v>20</v>
      </c>
      <c r="I7" s="1" t="s">
        <v>36</v>
      </c>
      <c r="J7" s="1" t="s">
        <v>22</v>
      </c>
      <c r="K7" s="5" t="s">
        <v>24</v>
      </c>
    </row>
    <row r="8">
      <c r="A8" s="1" t="s">
        <v>41</v>
      </c>
      <c r="B8" s="2">
        <v>45596.0</v>
      </c>
      <c r="C8" s="1" t="s">
        <v>14</v>
      </c>
      <c r="D8" s="1" t="s">
        <v>15</v>
      </c>
      <c r="E8" s="1" t="s">
        <v>17</v>
      </c>
      <c r="F8" s="1" t="s">
        <v>18</v>
      </c>
      <c r="G8" s="1">
        <v>6522.0</v>
      </c>
      <c r="H8" s="1" t="s">
        <v>20</v>
      </c>
      <c r="I8" s="1" t="s">
        <v>21</v>
      </c>
      <c r="J8" s="1" t="s">
        <v>22</v>
      </c>
      <c r="K8" s="5" t="s">
        <v>24</v>
      </c>
    </row>
    <row r="9">
      <c r="A9" s="1" t="s">
        <v>41</v>
      </c>
      <c r="B9" s="2">
        <v>45596.0</v>
      </c>
      <c r="C9" s="1" t="s">
        <v>14</v>
      </c>
      <c r="D9" s="1" t="s">
        <v>15</v>
      </c>
      <c r="E9" s="1" t="s">
        <v>17</v>
      </c>
      <c r="F9" s="1" t="s">
        <v>18</v>
      </c>
      <c r="G9" s="1">
        <v>6522.0</v>
      </c>
      <c r="H9" s="1" t="s">
        <v>20</v>
      </c>
      <c r="I9" s="1" t="s">
        <v>36</v>
      </c>
      <c r="J9" s="1" t="s">
        <v>22</v>
      </c>
      <c r="K9" s="5" t="s">
        <v>24</v>
      </c>
    </row>
    <row r="10">
      <c r="A10" s="1" t="s">
        <v>13</v>
      </c>
      <c r="B10" s="2">
        <v>45322.0</v>
      </c>
      <c r="C10" s="1" t="s">
        <v>14</v>
      </c>
      <c r="D10" s="1" t="s">
        <v>42</v>
      </c>
      <c r="E10" s="1" t="s">
        <v>17</v>
      </c>
      <c r="F10" s="1" t="s">
        <v>18</v>
      </c>
      <c r="G10" s="1">
        <v>2764.0</v>
      </c>
      <c r="H10" s="1" t="s">
        <v>20</v>
      </c>
      <c r="I10" s="1" t="s">
        <v>21</v>
      </c>
      <c r="J10" s="1" t="s">
        <v>22</v>
      </c>
      <c r="K10" s="5" t="s">
        <v>24</v>
      </c>
    </row>
    <row r="11">
      <c r="A11" s="1" t="s">
        <v>13</v>
      </c>
      <c r="B11" s="2">
        <v>45322.0</v>
      </c>
      <c r="C11" s="1" t="s">
        <v>14</v>
      </c>
      <c r="D11" s="1" t="s">
        <v>42</v>
      </c>
      <c r="E11" s="1" t="s">
        <v>17</v>
      </c>
      <c r="F11" s="1" t="s">
        <v>18</v>
      </c>
      <c r="G11" s="1">
        <v>2764.0</v>
      </c>
      <c r="H11" s="1" t="s">
        <v>20</v>
      </c>
      <c r="I11" s="1" t="s">
        <v>36</v>
      </c>
      <c r="J11" s="1" t="s">
        <v>22</v>
      </c>
      <c r="K11" s="5" t="s">
        <v>24</v>
      </c>
    </row>
    <row r="12">
      <c r="A12" s="1" t="s">
        <v>37</v>
      </c>
      <c r="B12" s="2">
        <v>45412.0</v>
      </c>
      <c r="C12" s="1" t="s">
        <v>14</v>
      </c>
      <c r="D12" s="1" t="s">
        <v>42</v>
      </c>
      <c r="E12" s="1" t="s">
        <v>17</v>
      </c>
      <c r="F12" s="1" t="s">
        <v>18</v>
      </c>
      <c r="G12" s="1">
        <v>2184.0</v>
      </c>
      <c r="H12" s="1" t="s">
        <v>20</v>
      </c>
      <c r="I12" s="1" t="s">
        <v>21</v>
      </c>
      <c r="J12" s="1" t="s">
        <v>22</v>
      </c>
      <c r="K12" s="5" t="s">
        <v>24</v>
      </c>
    </row>
    <row r="13">
      <c r="A13" s="1" t="s">
        <v>37</v>
      </c>
      <c r="B13" s="2">
        <v>45412.0</v>
      </c>
      <c r="C13" s="1" t="s">
        <v>14</v>
      </c>
      <c r="D13" s="1" t="s">
        <v>42</v>
      </c>
      <c r="E13" s="1" t="s">
        <v>17</v>
      </c>
      <c r="F13" s="1" t="s">
        <v>18</v>
      </c>
      <c r="G13" s="1">
        <v>2184.0</v>
      </c>
      <c r="H13" s="1" t="s">
        <v>20</v>
      </c>
      <c r="I13" s="1" t="s">
        <v>36</v>
      </c>
      <c r="J13" s="1" t="s">
        <v>22</v>
      </c>
      <c r="K13" s="5" t="s">
        <v>24</v>
      </c>
    </row>
    <row r="14">
      <c r="A14" s="1" t="s">
        <v>39</v>
      </c>
      <c r="B14" s="2">
        <v>45504.0</v>
      </c>
      <c r="C14" s="1" t="s">
        <v>14</v>
      </c>
      <c r="D14" s="1" t="s">
        <v>42</v>
      </c>
      <c r="E14" s="1" t="s">
        <v>17</v>
      </c>
      <c r="F14" s="1" t="s">
        <v>18</v>
      </c>
      <c r="G14" s="1">
        <v>2692.0</v>
      </c>
      <c r="H14" s="1" t="s">
        <v>20</v>
      </c>
      <c r="I14" s="1" t="s">
        <v>21</v>
      </c>
      <c r="J14" s="1" t="s">
        <v>22</v>
      </c>
      <c r="K14" s="5" t="s">
        <v>24</v>
      </c>
    </row>
    <row r="15">
      <c r="A15" s="1" t="s">
        <v>39</v>
      </c>
      <c r="B15" s="2">
        <v>45504.0</v>
      </c>
      <c r="C15" s="1" t="s">
        <v>14</v>
      </c>
      <c r="D15" s="1" t="s">
        <v>42</v>
      </c>
      <c r="E15" s="1" t="s">
        <v>17</v>
      </c>
      <c r="F15" s="1" t="s">
        <v>18</v>
      </c>
      <c r="G15" s="1">
        <v>2692.0</v>
      </c>
      <c r="H15" s="1" t="s">
        <v>20</v>
      </c>
      <c r="I15" s="1" t="s">
        <v>36</v>
      </c>
      <c r="J15" s="1" t="s">
        <v>22</v>
      </c>
      <c r="K15" s="5" t="s">
        <v>24</v>
      </c>
    </row>
    <row r="16">
      <c r="A16" s="1" t="s">
        <v>41</v>
      </c>
      <c r="B16" s="2">
        <v>45596.0</v>
      </c>
      <c r="C16" s="1" t="s">
        <v>14</v>
      </c>
      <c r="D16" s="1" t="s">
        <v>42</v>
      </c>
      <c r="E16" s="1" t="s">
        <v>17</v>
      </c>
      <c r="F16" s="1" t="s">
        <v>18</v>
      </c>
      <c r="G16" s="1">
        <v>3069.0</v>
      </c>
      <c r="H16" s="1" t="s">
        <v>20</v>
      </c>
      <c r="I16" s="1" t="s">
        <v>21</v>
      </c>
      <c r="J16" s="1" t="s">
        <v>22</v>
      </c>
      <c r="K16" s="5" t="s">
        <v>24</v>
      </c>
    </row>
    <row r="17">
      <c r="A17" s="1" t="s">
        <v>41</v>
      </c>
      <c r="B17" s="2">
        <v>45596.0</v>
      </c>
      <c r="C17" s="1" t="s">
        <v>14</v>
      </c>
      <c r="D17" s="1" t="s">
        <v>42</v>
      </c>
      <c r="E17" s="1" t="s">
        <v>17</v>
      </c>
      <c r="F17" s="1" t="s">
        <v>18</v>
      </c>
      <c r="G17" s="1">
        <v>3069.0</v>
      </c>
      <c r="H17" s="1" t="s">
        <v>20</v>
      </c>
      <c r="I17" s="1" t="s">
        <v>36</v>
      </c>
      <c r="J17" s="1" t="s">
        <v>22</v>
      </c>
      <c r="K17" s="5" t="s">
        <v>24</v>
      </c>
    </row>
    <row r="18">
      <c r="A18" s="1" t="s">
        <v>13</v>
      </c>
      <c r="B18" s="2">
        <v>45322.0</v>
      </c>
      <c r="C18" s="1" t="s">
        <v>14</v>
      </c>
      <c r="D18" s="1" t="s">
        <v>17</v>
      </c>
      <c r="E18" s="1" t="s">
        <v>17</v>
      </c>
      <c r="F18" s="1" t="s">
        <v>18</v>
      </c>
      <c r="G18" s="1">
        <v>8809.0</v>
      </c>
      <c r="H18" s="1" t="s">
        <v>20</v>
      </c>
      <c r="I18" s="1" t="s">
        <v>21</v>
      </c>
      <c r="J18" s="1" t="s">
        <v>22</v>
      </c>
      <c r="K18" s="5" t="s">
        <v>24</v>
      </c>
    </row>
    <row r="19">
      <c r="A19" s="1" t="s">
        <v>13</v>
      </c>
      <c r="B19" s="2">
        <v>45322.0</v>
      </c>
      <c r="C19" s="1" t="s">
        <v>14</v>
      </c>
      <c r="D19" s="1" t="s">
        <v>17</v>
      </c>
      <c r="E19" s="1" t="s">
        <v>17</v>
      </c>
      <c r="F19" s="1" t="s">
        <v>18</v>
      </c>
      <c r="G19" s="1">
        <v>8809.0</v>
      </c>
      <c r="H19" s="1" t="s">
        <v>20</v>
      </c>
      <c r="I19" s="1" t="s">
        <v>36</v>
      </c>
      <c r="J19" s="1" t="s">
        <v>22</v>
      </c>
      <c r="K19" s="5" t="s">
        <v>24</v>
      </c>
    </row>
    <row r="20">
      <c r="A20" s="1" t="s">
        <v>37</v>
      </c>
      <c r="B20" s="2">
        <v>45412.0</v>
      </c>
      <c r="C20" s="1" t="s">
        <v>14</v>
      </c>
      <c r="D20" s="1" t="s">
        <v>17</v>
      </c>
      <c r="E20" s="1" t="s">
        <v>17</v>
      </c>
      <c r="F20" s="1" t="s">
        <v>18</v>
      </c>
      <c r="G20" s="1">
        <v>8426.0</v>
      </c>
      <c r="H20" s="1" t="s">
        <v>20</v>
      </c>
      <c r="I20" s="1" t="s">
        <v>21</v>
      </c>
      <c r="J20" s="1" t="s">
        <v>22</v>
      </c>
      <c r="K20" s="5" t="s">
        <v>24</v>
      </c>
    </row>
    <row r="21">
      <c r="A21" s="1" t="s">
        <v>37</v>
      </c>
      <c r="B21" s="2">
        <v>45412.0</v>
      </c>
      <c r="C21" s="1" t="s">
        <v>14</v>
      </c>
      <c r="D21" s="1" t="s">
        <v>17</v>
      </c>
      <c r="E21" s="1" t="s">
        <v>17</v>
      </c>
      <c r="F21" s="1" t="s">
        <v>18</v>
      </c>
      <c r="G21" s="1">
        <v>8426.0</v>
      </c>
      <c r="H21" s="1" t="s">
        <v>20</v>
      </c>
      <c r="I21" s="1" t="s">
        <v>36</v>
      </c>
      <c r="J21" s="1" t="s">
        <v>22</v>
      </c>
      <c r="K21" s="5" t="s">
        <v>24</v>
      </c>
    </row>
    <row r="22">
      <c r="A22" s="1" t="s">
        <v>39</v>
      </c>
      <c r="B22" s="2">
        <v>45504.0</v>
      </c>
      <c r="C22" s="1" t="s">
        <v>14</v>
      </c>
      <c r="D22" s="1" t="s">
        <v>17</v>
      </c>
      <c r="E22" s="1" t="s">
        <v>17</v>
      </c>
      <c r="F22" s="1" t="s">
        <v>18</v>
      </c>
      <c r="G22" s="1">
        <v>9369.0</v>
      </c>
      <c r="H22" s="1" t="s">
        <v>20</v>
      </c>
      <c r="I22" s="1" t="s">
        <v>21</v>
      </c>
      <c r="J22" s="1" t="s">
        <v>22</v>
      </c>
      <c r="K22" s="5" t="s">
        <v>24</v>
      </c>
    </row>
    <row r="23">
      <c r="A23" s="1" t="s">
        <v>39</v>
      </c>
      <c r="B23" s="2">
        <v>45504.0</v>
      </c>
      <c r="C23" s="1" t="s">
        <v>14</v>
      </c>
      <c r="D23" s="1" t="s">
        <v>17</v>
      </c>
      <c r="E23" s="1" t="s">
        <v>17</v>
      </c>
      <c r="F23" s="1" t="s">
        <v>18</v>
      </c>
      <c r="G23" s="1">
        <v>9369.0</v>
      </c>
      <c r="H23" s="1" t="s">
        <v>20</v>
      </c>
      <c r="I23" s="1" t="s">
        <v>36</v>
      </c>
      <c r="J23" s="1" t="s">
        <v>22</v>
      </c>
      <c r="K23" s="5" t="s">
        <v>24</v>
      </c>
    </row>
    <row r="24">
      <c r="A24" s="1" t="s">
        <v>41</v>
      </c>
      <c r="B24" s="2">
        <v>45596.0</v>
      </c>
      <c r="C24" s="1" t="s">
        <v>14</v>
      </c>
      <c r="D24" s="1" t="s">
        <v>17</v>
      </c>
      <c r="E24" s="1" t="s">
        <v>17</v>
      </c>
      <c r="F24" s="1" t="s">
        <v>18</v>
      </c>
      <c r="G24" s="1">
        <v>9591.0</v>
      </c>
      <c r="H24" s="1" t="s">
        <v>20</v>
      </c>
      <c r="I24" s="1" t="s">
        <v>21</v>
      </c>
      <c r="J24" s="1" t="s">
        <v>22</v>
      </c>
      <c r="K24" s="5" t="s">
        <v>24</v>
      </c>
    </row>
    <row r="25">
      <c r="A25" s="1" t="s">
        <v>41</v>
      </c>
      <c r="B25" s="2">
        <v>45596.0</v>
      </c>
      <c r="C25" s="1" t="s">
        <v>14</v>
      </c>
      <c r="D25" s="1" t="s">
        <v>17</v>
      </c>
      <c r="E25" s="1" t="s">
        <v>17</v>
      </c>
      <c r="F25" s="1" t="s">
        <v>18</v>
      </c>
      <c r="G25" s="1">
        <v>9591.0</v>
      </c>
      <c r="H25" s="1" t="s">
        <v>20</v>
      </c>
      <c r="I25" s="1" t="s">
        <v>36</v>
      </c>
      <c r="J25" s="1" t="s">
        <v>22</v>
      </c>
      <c r="K25" s="5" t="s">
        <v>24</v>
      </c>
    </row>
    <row r="26">
      <c r="A26" s="1" t="s">
        <v>13</v>
      </c>
      <c r="B26" s="2">
        <v>45322.0</v>
      </c>
      <c r="C26" s="1" t="s">
        <v>14</v>
      </c>
      <c r="D26" s="1" t="s">
        <v>48</v>
      </c>
      <c r="E26" s="1" t="s">
        <v>50</v>
      </c>
      <c r="F26" s="1" t="s">
        <v>18</v>
      </c>
      <c r="G26" s="1">
        <v>2863.0</v>
      </c>
      <c r="H26" s="1" t="s">
        <v>20</v>
      </c>
      <c r="I26" s="1" t="s">
        <v>21</v>
      </c>
      <c r="J26" s="1" t="s">
        <v>22</v>
      </c>
      <c r="K26" s="5" t="s">
        <v>24</v>
      </c>
    </row>
    <row r="27">
      <c r="A27" s="1" t="s">
        <v>13</v>
      </c>
      <c r="B27" s="2">
        <v>45322.0</v>
      </c>
      <c r="C27" s="1" t="s">
        <v>14</v>
      </c>
      <c r="D27" s="1" t="s">
        <v>48</v>
      </c>
      <c r="E27" s="1" t="s">
        <v>50</v>
      </c>
      <c r="F27" s="1" t="s">
        <v>18</v>
      </c>
      <c r="G27" s="1">
        <v>2863.0</v>
      </c>
      <c r="H27" s="1" t="s">
        <v>20</v>
      </c>
      <c r="I27" s="1" t="s">
        <v>36</v>
      </c>
      <c r="J27" s="1" t="s">
        <v>22</v>
      </c>
      <c r="K27" s="5" t="s">
        <v>24</v>
      </c>
    </row>
    <row r="28">
      <c r="A28" s="1" t="s">
        <v>37</v>
      </c>
      <c r="B28" s="2">
        <v>45412.0</v>
      </c>
      <c r="C28" s="1" t="s">
        <v>14</v>
      </c>
      <c r="D28" s="1" t="s">
        <v>48</v>
      </c>
      <c r="E28" s="1" t="s">
        <v>50</v>
      </c>
      <c r="F28" s="1" t="s">
        <v>18</v>
      </c>
      <c r="G28" s="1">
        <v>2864.0</v>
      </c>
      <c r="H28" s="1" t="s">
        <v>20</v>
      </c>
      <c r="I28" s="1" t="s">
        <v>21</v>
      </c>
      <c r="J28" s="1" t="s">
        <v>22</v>
      </c>
      <c r="K28" s="5" t="s">
        <v>24</v>
      </c>
    </row>
    <row r="29">
      <c r="A29" s="1" t="s">
        <v>37</v>
      </c>
      <c r="B29" s="2">
        <v>45412.0</v>
      </c>
      <c r="C29" s="1" t="s">
        <v>14</v>
      </c>
      <c r="D29" s="1" t="s">
        <v>48</v>
      </c>
      <c r="E29" s="1" t="s">
        <v>50</v>
      </c>
      <c r="F29" s="1" t="s">
        <v>18</v>
      </c>
      <c r="G29" s="1">
        <v>2864.0</v>
      </c>
      <c r="H29" s="1" t="s">
        <v>20</v>
      </c>
      <c r="I29" s="1" t="s">
        <v>36</v>
      </c>
      <c r="J29" s="1" t="s">
        <v>22</v>
      </c>
      <c r="K29" s="5" t="s">
        <v>24</v>
      </c>
    </row>
    <row r="30">
      <c r="A30" s="1" t="s">
        <v>39</v>
      </c>
      <c r="B30" s="2">
        <v>45504.0</v>
      </c>
      <c r="C30" s="1" t="s">
        <v>14</v>
      </c>
      <c r="D30" s="1" t="s">
        <v>48</v>
      </c>
      <c r="E30" s="1" t="s">
        <v>50</v>
      </c>
      <c r="F30" s="1" t="s">
        <v>18</v>
      </c>
      <c r="G30" s="1">
        <v>2704.0</v>
      </c>
      <c r="H30" s="1" t="s">
        <v>20</v>
      </c>
      <c r="I30" s="1" t="s">
        <v>21</v>
      </c>
      <c r="J30" s="1" t="s">
        <v>22</v>
      </c>
      <c r="K30" s="5" t="s">
        <v>24</v>
      </c>
    </row>
    <row r="31">
      <c r="A31" s="1" t="s">
        <v>39</v>
      </c>
      <c r="B31" s="2">
        <v>45504.0</v>
      </c>
      <c r="C31" s="1" t="s">
        <v>14</v>
      </c>
      <c r="D31" s="1" t="s">
        <v>48</v>
      </c>
      <c r="E31" s="1" t="s">
        <v>50</v>
      </c>
      <c r="F31" s="1" t="s">
        <v>18</v>
      </c>
      <c r="G31" s="1">
        <v>2703.0</v>
      </c>
      <c r="H31" s="1" t="s">
        <v>20</v>
      </c>
      <c r="I31" s="1" t="s">
        <v>36</v>
      </c>
      <c r="J31" s="1" t="s">
        <v>22</v>
      </c>
      <c r="K31" s="5" t="s">
        <v>24</v>
      </c>
    </row>
    <row r="32">
      <c r="A32" s="1" t="s">
        <v>41</v>
      </c>
      <c r="B32" s="2">
        <v>45596.0</v>
      </c>
      <c r="C32" s="1" t="s">
        <v>14</v>
      </c>
      <c r="D32" s="1" t="s">
        <v>48</v>
      </c>
      <c r="E32" s="1" t="s">
        <v>50</v>
      </c>
      <c r="F32" s="1" t="s">
        <v>18</v>
      </c>
      <c r="G32" s="1">
        <v>2867.0</v>
      </c>
      <c r="H32" s="1" t="s">
        <v>20</v>
      </c>
      <c r="I32" s="1" t="s">
        <v>21</v>
      </c>
      <c r="J32" s="1" t="s">
        <v>22</v>
      </c>
      <c r="K32" s="5" t="s">
        <v>24</v>
      </c>
    </row>
    <row r="33">
      <c r="A33" s="1" t="s">
        <v>41</v>
      </c>
      <c r="B33" s="2">
        <v>45596.0</v>
      </c>
      <c r="C33" s="1" t="s">
        <v>14</v>
      </c>
      <c r="D33" s="1" t="s">
        <v>48</v>
      </c>
      <c r="E33" s="1" t="s">
        <v>50</v>
      </c>
      <c r="F33" s="1" t="s">
        <v>18</v>
      </c>
      <c r="G33" s="1">
        <v>2865.0</v>
      </c>
      <c r="H33" s="1" t="s">
        <v>20</v>
      </c>
      <c r="I33" s="1" t="s">
        <v>36</v>
      </c>
      <c r="J33" s="1" t="s">
        <v>22</v>
      </c>
      <c r="K33" s="5" t="s">
        <v>24</v>
      </c>
    </row>
    <row r="34">
      <c r="A34" s="1" t="s">
        <v>13</v>
      </c>
      <c r="B34" s="2">
        <v>45322.0</v>
      </c>
      <c r="C34" s="1" t="s">
        <v>14</v>
      </c>
      <c r="D34" s="1" t="s">
        <v>53</v>
      </c>
      <c r="E34" s="1" t="s">
        <v>50</v>
      </c>
      <c r="F34" s="1" t="s">
        <v>18</v>
      </c>
      <c r="G34" s="1">
        <v>1227.0</v>
      </c>
      <c r="H34" s="1" t="s">
        <v>20</v>
      </c>
      <c r="I34" s="1" t="s">
        <v>21</v>
      </c>
      <c r="J34" s="1" t="s">
        <v>22</v>
      </c>
      <c r="K34" s="5" t="s">
        <v>24</v>
      </c>
    </row>
    <row r="35">
      <c r="A35" s="1" t="s">
        <v>13</v>
      </c>
      <c r="B35" s="2">
        <v>45322.0</v>
      </c>
      <c r="C35" s="1" t="s">
        <v>14</v>
      </c>
      <c r="D35" s="1" t="s">
        <v>53</v>
      </c>
      <c r="E35" s="1" t="s">
        <v>50</v>
      </c>
      <c r="F35" s="1" t="s">
        <v>18</v>
      </c>
      <c r="G35" s="1">
        <v>1227.0</v>
      </c>
      <c r="H35" s="1" t="s">
        <v>20</v>
      </c>
      <c r="I35" s="1" t="s">
        <v>36</v>
      </c>
      <c r="J35" s="1" t="s">
        <v>22</v>
      </c>
      <c r="K35" s="5" t="s">
        <v>24</v>
      </c>
    </row>
    <row r="36">
      <c r="A36" s="1" t="s">
        <v>37</v>
      </c>
      <c r="B36" s="2">
        <v>45412.0</v>
      </c>
      <c r="C36" s="1" t="s">
        <v>14</v>
      </c>
      <c r="D36" s="1" t="s">
        <v>53</v>
      </c>
      <c r="E36" s="1" t="s">
        <v>50</v>
      </c>
      <c r="F36" s="1" t="s">
        <v>18</v>
      </c>
      <c r="G36" s="1">
        <v>1205.0</v>
      </c>
      <c r="H36" s="1" t="s">
        <v>20</v>
      </c>
      <c r="I36" s="1" t="s">
        <v>21</v>
      </c>
      <c r="J36" s="1" t="s">
        <v>22</v>
      </c>
      <c r="K36" s="5" t="s">
        <v>24</v>
      </c>
    </row>
    <row r="37">
      <c r="A37" s="1" t="s">
        <v>37</v>
      </c>
      <c r="B37" s="2">
        <v>45412.0</v>
      </c>
      <c r="C37" s="1" t="s">
        <v>14</v>
      </c>
      <c r="D37" s="1" t="s">
        <v>53</v>
      </c>
      <c r="E37" s="1" t="s">
        <v>50</v>
      </c>
      <c r="F37" s="1" t="s">
        <v>18</v>
      </c>
      <c r="G37" s="1">
        <v>1205.0</v>
      </c>
      <c r="H37" s="1" t="s">
        <v>20</v>
      </c>
      <c r="I37" s="1" t="s">
        <v>36</v>
      </c>
      <c r="J37" s="1" t="s">
        <v>22</v>
      </c>
      <c r="K37" s="5" t="s">
        <v>24</v>
      </c>
    </row>
    <row r="38">
      <c r="A38" s="1" t="s">
        <v>39</v>
      </c>
      <c r="B38" s="2">
        <v>45504.0</v>
      </c>
      <c r="C38" s="1" t="s">
        <v>14</v>
      </c>
      <c r="D38" s="1" t="s">
        <v>53</v>
      </c>
      <c r="E38" s="1" t="s">
        <v>50</v>
      </c>
      <c r="F38" s="1" t="s">
        <v>18</v>
      </c>
      <c r="G38" s="1">
        <v>1147.0</v>
      </c>
      <c r="H38" s="1" t="s">
        <v>20</v>
      </c>
      <c r="I38" s="1" t="s">
        <v>21</v>
      </c>
      <c r="J38" s="1" t="s">
        <v>22</v>
      </c>
      <c r="K38" s="5" t="s">
        <v>24</v>
      </c>
    </row>
    <row r="39">
      <c r="A39" s="1" t="s">
        <v>39</v>
      </c>
      <c r="B39" s="2">
        <v>45504.0</v>
      </c>
      <c r="C39" s="1" t="s">
        <v>14</v>
      </c>
      <c r="D39" s="1" t="s">
        <v>53</v>
      </c>
      <c r="E39" s="1" t="s">
        <v>50</v>
      </c>
      <c r="F39" s="1" t="s">
        <v>18</v>
      </c>
      <c r="G39" s="1">
        <v>1147.0</v>
      </c>
      <c r="H39" s="1" t="s">
        <v>20</v>
      </c>
      <c r="I39" s="1" t="s">
        <v>36</v>
      </c>
      <c r="J39" s="1" t="s">
        <v>22</v>
      </c>
      <c r="K39" s="5" t="s">
        <v>24</v>
      </c>
    </row>
    <row r="40">
      <c r="A40" s="1" t="s">
        <v>41</v>
      </c>
      <c r="B40" s="2">
        <v>45596.0</v>
      </c>
      <c r="C40" s="1" t="s">
        <v>14</v>
      </c>
      <c r="D40" s="1" t="s">
        <v>53</v>
      </c>
      <c r="E40" s="1" t="s">
        <v>50</v>
      </c>
      <c r="F40" s="1" t="s">
        <v>18</v>
      </c>
      <c r="G40" s="1">
        <v>1262.0</v>
      </c>
      <c r="H40" s="1" t="s">
        <v>20</v>
      </c>
      <c r="I40" s="1" t="s">
        <v>21</v>
      </c>
      <c r="J40" s="1" t="s">
        <v>22</v>
      </c>
      <c r="K40" s="5" t="s">
        <v>24</v>
      </c>
    </row>
    <row r="41">
      <c r="A41" s="1" t="s">
        <v>41</v>
      </c>
      <c r="B41" s="2">
        <v>45596.0</v>
      </c>
      <c r="C41" s="1" t="s">
        <v>14</v>
      </c>
      <c r="D41" s="1" t="s">
        <v>53</v>
      </c>
      <c r="E41" s="1" t="s">
        <v>50</v>
      </c>
      <c r="F41" s="1" t="s">
        <v>18</v>
      </c>
      <c r="G41" s="1">
        <v>1262.0</v>
      </c>
      <c r="H41" s="1" t="s">
        <v>20</v>
      </c>
      <c r="I41" s="1" t="s">
        <v>36</v>
      </c>
      <c r="J41" s="1" t="s">
        <v>22</v>
      </c>
      <c r="K41" s="5" t="s">
        <v>24</v>
      </c>
    </row>
    <row r="42">
      <c r="A42" s="1" t="s">
        <v>13</v>
      </c>
      <c r="B42" s="2">
        <v>45322.0</v>
      </c>
      <c r="C42" s="1" t="s">
        <v>14</v>
      </c>
      <c r="D42" s="1" t="s">
        <v>55</v>
      </c>
      <c r="E42" s="1" t="s">
        <v>50</v>
      </c>
      <c r="F42" s="1" t="s">
        <v>18</v>
      </c>
      <c r="G42" s="1">
        <v>285.0</v>
      </c>
      <c r="H42" s="1" t="s">
        <v>20</v>
      </c>
      <c r="I42" s="1" t="s">
        <v>21</v>
      </c>
      <c r="J42" s="1" t="s">
        <v>22</v>
      </c>
      <c r="K42" s="5" t="s">
        <v>24</v>
      </c>
    </row>
    <row r="43">
      <c r="A43" s="1" t="s">
        <v>13</v>
      </c>
      <c r="B43" s="2">
        <v>45322.0</v>
      </c>
      <c r="C43" s="1" t="s">
        <v>14</v>
      </c>
      <c r="D43" s="1" t="s">
        <v>55</v>
      </c>
      <c r="E43" s="1" t="s">
        <v>50</v>
      </c>
      <c r="F43" s="1" t="s">
        <v>18</v>
      </c>
      <c r="G43" s="1">
        <v>285.0</v>
      </c>
      <c r="H43" s="1" t="s">
        <v>20</v>
      </c>
      <c r="I43" s="1" t="s">
        <v>36</v>
      </c>
      <c r="J43" s="1" t="s">
        <v>22</v>
      </c>
      <c r="K43" s="5" t="s">
        <v>24</v>
      </c>
    </row>
    <row r="44">
      <c r="A44" s="1" t="s">
        <v>37</v>
      </c>
      <c r="B44" s="2">
        <v>45412.0</v>
      </c>
      <c r="C44" s="1" t="s">
        <v>14</v>
      </c>
      <c r="D44" s="1" t="s">
        <v>55</v>
      </c>
      <c r="E44" s="1" t="s">
        <v>50</v>
      </c>
      <c r="F44" s="1" t="s">
        <v>18</v>
      </c>
      <c r="G44" s="1">
        <v>300.0</v>
      </c>
      <c r="H44" s="1" t="s">
        <v>20</v>
      </c>
      <c r="I44" s="1" t="s">
        <v>21</v>
      </c>
      <c r="J44" s="1" t="s">
        <v>22</v>
      </c>
      <c r="K44" s="5" t="s">
        <v>24</v>
      </c>
    </row>
    <row r="45">
      <c r="A45" s="1" t="s">
        <v>37</v>
      </c>
      <c r="B45" s="2">
        <v>45412.0</v>
      </c>
      <c r="C45" s="1" t="s">
        <v>14</v>
      </c>
      <c r="D45" s="1" t="s">
        <v>55</v>
      </c>
      <c r="E45" s="1" t="s">
        <v>50</v>
      </c>
      <c r="F45" s="1" t="s">
        <v>18</v>
      </c>
      <c r="G45" s="1">
        <v>299.0</v>
      </c>
      <c r="H45" s="1" t="s">
        <v>20</v>
      </c>
      <c r="I45" s="1" t="s">
        <v>36</v>
      </c>
      <c r="J45" s="1" t="s">
        <v>22</v>
      </c>
      <c r="K45" s="5" t="s">
        <v>24</v>
      </c>
    </row>
    <row r="46">
      <c r="A46" s="1" t="s">
        <v>39</v>
      </c>
      <c r="B46" s="2">
        <v>45504.0</v>
      </c>
      <c r="C46" s="1" t="s">
        <v>14</v>
      </c>
      <c r="D46" s="1" t="s">
        <v>55</v>
      </c>
      <c r="E46" s="1" t="s">
        <v>50</v>
      </c>
      <c r="F46" s="1" t="s">
        <v>18</v>
      </c>
      <c r="G46" s="1">
        <v>299.0</v>
      </c>
      <c r="H46" s="1" t="s">
        <v>20</v>
      </c>
      <c r="I46" s="1" t="s">
        <v>21</v>
      </c>
      <c r="J46" s="1" t="s">
        <v>22</v>
      </c>
      <c r="K46" s="5" t="s">
        <v>24</v>
      </c>
    </row>
    <row r="47">
      <c r="A47" s="1" t="s">
        <v>39</v>
      </c>
      <c r="B47" s="2">
        <v>45504.0</v>
      </c>
      <c r="C47" s="1" t="s">
        <v>14</v>
      </c>
      <c r="D47" s="1" t="s">
        <v>55</v>
      </c>
      <c r="E47" s="1" t="s">
        <v>50</v>
      </c>
      <c r="F47" s="1" t="s">
        <v>18</v>
      </c>
      <c r="G47" s="1">
        <v>293.0</v>
      </c>
      <c r="H47" s="1" t="s">
        <v>20</v>
      </c>
      <c r="I47" s="1" t="s">
        <v>36</v>
      </c>
      <c r="J47" s="1" t="s">
        <v>22</v>
      </c>
      <c r="K47" s="5" t="s">
        <v>24</v>
      </c>
    </row>
    <row r="48">
      <c r="A48" s="1" t="s">
        <v>41</v>
      </c>
      <c r="B48" s="2">
        <v>45596.0</v>
      </c>
      <c r="C48" s="1" t="s">
        <v>14</v>
      </c>
      <c r="D48" s="1" t="s">
        <v>55</v>
      </c>
      <c r="E48" s="1" t="s">
        <v>50</v>
      </c>
      <c r="F48" s="1" t="s">
        <v>18</v>
      </c>
      <c r="G48" s="1">
        <v>333.0</v>
      </c>
      <c r="H48" s="1" t="s">
        <v>20</v>
      </c>
      <c r="I48" s="1" t="s">
        <v>21</v>
      </c>
      <c r="J48" s="1" t="s">
        <v>22</v>
      </c>
      <c r="K48" s="5" t="s">
        <v>24</v>
      </c>
    </row>
    <row r="49">
      <c r="A49" s="1" t="s">
        <v>41</v>
      </c>
      <c r="B49" s="2">
        <v>45596.0</v>
      </c>
      <c r="C49" s="1" t="s">
        <v>14</v>
      </c>
      <c r="D49" s="1" t="s">
        <v>55</v>
      </c>
      <c r="E49" s="1" t="s">
        <v>50</v>
      </c>
      <c r="F49" s="1" t="s">
        <v>18</v>
      </c>
      <c r="G49" s="1">
        <v>325.0</v>
      </c>
      <c r="H49" s="1" t="s">
        <v>20</v>
      </c>
      <c r="I49" s="1" t="s">
        <v>36</v>
      </c>
      <c r="J49" s="1" t="s">
        <v>22</v>
      </c>
      <c r="K49" s="5" t="s">
        <v>24</v>
      </c>
    </row>
    <row r="50">
      <c r="A50" s="1" t="s">
        <v>13</v>
      </c>
      <c r="B50" s="2">
        <v>45322.0</v>
      </c>
      <c r="C50" s="1" t="s">
        <v>14</v>
      </c>
      <c r="D50" s="1" t="s">
        <v>50</v>
      </c>
      <c r="E50" s="1" t="s">
        <v>50</v>
      </c>
      <c r="F50" s="1" t="s">
        <v>18</v>
      </c>
      <c r="G50" s="1">
        <v>4375.0</v>
      </c>
      <c r="H50" s="1" t="s">
        <v>20</v>
      </c>
      <c r="I50" s="1" t="s">
        <v>21</v>
      </c>
      <c r="J50" s="1" t="s">
        <v>22</v>
      </c>
      <c r="K50" s="5" t="s">
        <v>24</v>
      </c>
    </row>
    <row r="51">
      <c r="A51" s="1" t="s">
        <v>13</v>
      </c>
      <c r="B51" s="2">
        <v>45322.0</v>
      </c>
      <c r="C51" s="1" t="s">
        <v>14</v>
      </c>
      <c r="D51" s="1" t="s">
        <v>50</v>
      </c>
      <c r="E51" s="1" t="s">
        <v>50</v>
      </c>
      <c r="F51" s="1" t="s">
        <v>18</v>
      </c>
      <c r="G51" s="1">
        <v>4375.0</v>
      </c>
      <c r="H51" s="1" t="s">
        <v>20</v>
      </c>
      <c r="I51" s="1" t="s">
        <v>36</v>
      </c>
      <c r="J51" s="1" t="s">
        <v>22</v>
      </c>
      <c r="K51" s="5" t="s">
        <v>24</v>
      </c>
    </row>
    <row r="52">
      <c r="A52" s="1" t="s">
        <v>37</v>
      </c>
      <c r="B52" s="2">
        <v>45412.0</v>
      </c>
      <c r="C52" s="1" t="s">
        <v>14</v>
      </c>
      <c r="D52" s="1" t="s">
        <v>50</v>
      </c>
      <c r="E52" s="1" t="s">
        <v>50</v>
      </c>
      <c r="F52" s="1" t="s">
        <v>18</v>
      </c>
      <c r="G52" s="1">
        <v>4369.0</v>
      </c>
      <c r="H52" s="1" t="s">
        <v>20</v>
      </c>
      <c r="I52" s="1" t="s">
        <v>21</v>
      </c>
      <c r="J52" s="1" t="s">
        <v>22</v>
      </c>
      <c r="K52" s="5" t="s">
        <v>24</v>
      </c>
    </row>
    <row r="53">
      <c r="A53" s="1" t="s">
        <v>37</v>
      </c>
      <c r="B53" s="2">
        <v>45412.0</v>
      </c>
      <c r="C53" s="1" t="s">
        <v>14</v>
      </c>
      <c r="D53" s="1" t="s">
        <v>50</v>
      </c>
      <c r="E53" s="1" t="s">
        <v>50</v>
      </c>
      <c r="F53" s="1" t="s">
        <v>18</v>
      </c>
      <c r="G53" s="1">
        <v>4368.0</v>
      </c>
      <c r="H53" s="1" t="s">
        <v>20</v>
      </c>
      <c r="I53" s="1" t="s">
        <v>36</v>
      </c>
      <c r="J53" s="1" t="s">
        <v>22</v>
      </c>
      <c r="K53" s="5" t="s">
        <v>24</v>
      </c>
    </row>
    <row r="54">
      <c r="A54" s="1" t="s">
        <v>39</v>
      </c>
      <c r="B54" s="2">
        <v>45504.0</v>
      </c>
      <c r="C54" s="1" t="s">
        <v>14</v>
      </c>
      <c r="D54" s="1" t="s">
        <v>50</v>
      </c>
      <c r="E54" s="1" t="s">
        <v>50</v>
      </c>
      <c r="F54" s="1" t="s">
        <v>18</v>
      </c>
      <c r="G54" s="1">
        <v>4150.0</v>
      </c>
      <c r="H54" s="1" t="s">
        <v>20</v>
      </c>
      <c r="I54" s="1" t="s">
        <v>21</v>
      </c>
      <c r="J54" s="1" t="s">
        <v>22</v>
      </c>
      <c r="K54" s="5" t="s">
        <v>24</v>
      </c>
    </row>
    <row r="55">
      <c r="A55" s="1" t="s">
        <v>39</v>
      </c>
      <c r="B55" s="2">
        <v>45504.0</v>
      </c>
      <c r="C55" s="1" t="s">
        <v>14</v>
      </c>
      <c r="D55" s="1" t="s">
        <v>50</v>
      </c>
      <c r="E55" s="1" t="s">
        <v>50</v>
      </c>
      <c r="F55" s="1" t="s">
        <v>18</v>
      </c>
      <c r="G55" s="1">
        <v>4143.0</v>
      </c>
      <c r="H55" s="1" t="s">
        <v>20</v>
      </c>
      <c r="I55" s="1" t="s">
        <v>36</v>
      </c>
      <c r="J55" s="1" t="s">
        <v>22</v>
      </c>
      <c r="K55" s="5" t="s">
        <v>24</v>
      </c>
    </row>
    <row r="56">
      <c r="A56" s="1" t="s">
        <v>41</v>
      </c>
      <c r="B56" s="2">
        <v>45596.0</v>
      </c>
      <c r="C56" s="1" t="s">
        <v>14</v>
      </c>
      <c r="D56" s="1" t="s">
        <v>50</v>
      </c>
      <c r="E56" s="1" t="s">
        <v>50</v>
      </c>
      <c r="F56" s="1" t="s">
        <v>18</v>
      </c>
      <c r="G56" s="1">
        <v>4462.0</v>
      </c>
      <c r="H56" s="1" t="s">
        <v>20</v>
      </c>
      <c r="I56" s="1" t="s">
        <v>21</v>
      </c>
      <c r="J56" s="1" t="s">
        <v>22</v>
      </c>
      <c r="K56" s="5" t="s">
        <v>24</v>
      </c>
    </row>
    <row r="57">
      <c r="A57" s="1" t="s">
        <v>41</v>
      </c>
      <c r="B57" s="2">
        <v>45596.0</v>
      </c>
      <c r="C57" s="1" t="s">
        <v>14</v>
      </c>
      <c r="D57" s="1" t="s">
        <v>50</v>
      </c>
      <c r="E57" s="1" t="s">
        <v>50</v>
      </c>
      <c r="F57" s="1" t="s">
        <v>18</v>
      </c>
      <c r="G57" s="1">
        <v>4452.0</v>
      </c>
      <c r="H57" s="1" t="s">
        <v>20</v>
      </c>
      <c r="I57" s="1" t="s">
        <v>36</v>
      </c>
      <c r="J57" s="1" t="s">
        <v>22</v>
      </c>
      <c r="K57" s="5" t="s">
        <v>24</v>
      </c>
    </row>
    <row r="58">
      <c r="A58" s="1" t="s">
        <v>13</v>
      </c>
      <c r="B58" s="2">
        <v>45322.0</v>
      </c>
      <c r="C58" s="1" t="s">
        <v>14</v>
      </c>
      <c r="D58" s="1" t="s">
        <v>60</v>
      </c>
      <c r="E58" s="1" t="s">
        <v>61</v>
      </c>
      <c r="F58" s="1" t="s">
        <v>18</v>
      </c>
      <c r="G58" s="1">
        <v>2.0</v>
      </c>
      <c r="H58" s="1" t="s">
        <v>20</v>
      </c>
      <c r="I58" s="1" t="s">
        <v>21</v>
      </c>
      <c r="J58" s="1" t="s">
        <v>22</v>
      </c>
      <c r="K58" s="5" t="s">
        <v>24</v>
      </c>
    </row>
    <row r="59">
      <c r="A59" s="1" t="s">
        <v>13</v>
      </c>
      <c r="B59" s="2">
        <v>45322.0</v>
      </c>
      <c r="C59" s="1" t="s">
        <v>14</v>
      </c>
      <c r="D59" s="1" t="s">
        <v>60</v>
      </c>
      <c r="E59" s="1" t="s">
        <v>61</v>
      </c>
      <c r="F59" s="1" t="s">
        <v>18</v>
      </c>
      <c r="G59" s="1">
        <v>2.0</v>
      </c>
      <c r="H59" s="1" t="s">
        <v>20</v>
      </c>
      <c r="I59" s="1" t="s">
        <v>36</v>
      </c>
      <c r="J59" s="1" t="s">
        <v>22</v>
      </c>
      <c r="K59" s="5" t="s">
        <v>24</v>
      </c>
    </row>
    <row r="60">
      <c r="A60" s="1" t="s">
        <v>37</v>
      </c>
      <c r="B60" s="2">
        <v>45412.0</v>
      </c>
      <c r="C60" s="1" t="s">
        <v>14</v>
      </c>
      <c r="D60" s="1" t="s">
        <v>60</v>
      </c>
      <c r="E60" s="1" t="s">
        <v>61</v>
      </c>
      <c r="F60" s="1" t="s">
        <v>18</v>
      </c>
      <c r="G60" s="1">
        <v>4.0</v>
      </c>
      <c r="H60" s="1" t="s">
        <v>20</v>
      </c>
      <c r="I60" s="1" t="s">
        <v>21</v>
      </c>
      <c r="J60" s="1" t="s">
        <v>22</v>
      </c>
      <c r="K60" s="5" t="s">
        <v>24</v>
      </c>
    </row>
    <row r="61">
      <c r="A61" s="1" t="s">
        <v>37</v>
      </c>
      <c r="B61" s="2">
        <v>45412.0</v>
      </c>
      <c r="C61" s="1" t="s">
        <v>14</v>
      </c>
      <c r="D61" s="1" t="s">
        <v>60</v>
      </c>
      <c r="E61" s="1" t="s">
        <v>61</v>
      </c>
      <c r="F61" s="1" t="s">
        <v>18</v>
      </c>
      <c r="G61" s="1">
        <v>5.0</v>
      </c>
      <c r="H61" s="1" t="s">
        <v>20</v>
      </c>
      <c r="I61" s="1" t="s">
        <v>36</v>
      </c>
      <c r="J61" s="1" t="s">
        <v>22</v>
      </c>
      <c r="K61" s="5" t="s">
        <v>24</v>
      </c>
    </row>
    <row r="62">
      <c r="A62" s="1" t="s">
        <v>39</v>
      </c>
      <c r="B62" s="2">
        <v>45504.0</v>
      </c>
      <c r="C62" s="1" t="s">
        <v>14</v>
      </c>
      <c r="D62" s="1" t="s">
        <v>60</v>
      </c>
      <c r="E62" s="1" t="s">
        <v>61</v>
      </c>
      <c r="F62" s="1" t="s">
        <v>18</v>
      </c>
      <c r="G62" s="1">
        <v>0.0</v>
      </c>
      <c r="H62" s="1" t="s">
        <v>20</v>
      </c>
      <c r="I62" s="1" t="s">
        <v>21</v>
      </c>
      <c r="J62" s="1" t="s">
        <v>22</v>
      </c>
      <c r="K62" s="5" t="s">
        <v>24</v>
      </c>
    </row>
    <row r="63">
      <c r="A63" s="1" t="s">
        <v>39</v>
      </c>
      <c r="B63" s="2">
        <v>45504.0</v>
      </c>
      <c r="C63" s="1" t="s">
        <v>14</v>
      </c>
      <c r="D63" s="1" t="s">
        <v>60</v>
      </c>
      <c r="E63" s="1" t="s">
        <v>61</v>
      </c>
      <c r="F63" s="1" t="s">
        <v>18</v>
      </c>
      <c r="G63" s="1">
        <v>7.0</v>
      </c>
      <c r="H63" s="1" t="s">
        <v>20</v>
      </c>
      <c r="I63" s="1" t="s">
        <v>36</v>
      </c>
      <c r="J63" s="1" t="s">
        <v>22</v>
      </c>
      <c r="K63" s="5" t="s">
        <v>24</v>
      </c>
    </row>
    <row r="64">
      <c r="A64" s="1" t="s">
        <v>41</v>
      </c>
      <c r="B64" s="2">
        <v>45596.0</v>
      </c>
      <c r="C64" s="1" t="s">
        <v>14</v>
      </c>
      <c r="D64" s="1" t="s">
        <v>60</v>
      </c>
      <c r="E64" s="1" t="s">
        <v>61</v>
      </c>
      <c r="F64" s="1" t="s">
        <v>18</v>
      </c>
      <c r="G64" s="1">
        <v>1.0</v>
      </c>
      <c r="H64" s="1" t="s">
        <v>20</v>
      </c>
      <c r="I64" s="1" t="s">
        <v>21</v>
      </c>
      <c r="J64" s="1" t="s">
        <v>22</v>
      </c>
      <c r="K64" s="5" t="s">
        <v>24</v>
      </c>
    </row>
    <row r="65">
      <c r="A65" s="1" t="s">
        <v>41</v>
      </c>
      <c r="B65" s="2">
        <v>45596.0</v>
      </c>
      <c r="C65" s="1" t="s">
        <v>14</v>
      </c>
      <c r="D65" s="1" t="s">
        <v>60</v>
      </c>
      <c r="E65" s="1" t="s">
        <v>61</v>
      </c>
      <c r="F65" s="1" t="s">
        <v>18</v>
      </c>
      <c r="G65" s="1">
        <v>11.0</v>
      </c>
      <c r="H65" s="1" t="s">
        <v>20</v>
      </c>
      <c r="I65" s="1" t="s">
        <v>36</v>
      </c>
      <c r="J65" s="1" t="s">
        <v>22</v>
      </c>
      <c r="K65" s="5" t="s">
        <v>24</v>
      </c>
    </row>
    <row r="66">
      <c r="A66" s="1" t="s">
        <v>13</v>
      </c>
      <c r="B66" s="2">
        <v>45322.0</v>
      </c>
      <c r="C66" s="1" t="s">
        <v>14</v>
      </c>
      <c r="D66" s="1" t="s">
        <v>64</v>
      </c>
      <c r="E66" s="1" t="s">
        <v>61</v>
      </c>
      <c r="F66" s="1" t="s">
        <v>18</v>
      </c>
      <c r="G66" s="1">
        <v>13186.0</v>
      </c>
      <c r="H66" s="1" t="s">
        <v>20</v>
      </c>
      <c r="I66" s="1" t="s">
        <v>21</v>
      </c>
      <c r="J66" s="1" t="s">
        <v>22</v>
      </c>
      <c r="K66" s="5" t="s">
        <v>24</v>
      </c>
    </row>
    <row r="67">
      <c r="A67" s="1" t="s">
        <v>13</v>
      </c>
      <c r="B67" s="2">
        <v>45322.0</v>
      </c>
      <c r="C67" s="1" t="s">
        <v>14</v>
      </c>
      <c r="D67" s="1" t="s">
        <v>64</v>
      </c>
      <c r="E67" s="1" t="s">
        <v>61</v>
      </c>
      <c r="F67" s="1" t="s">
        <v>18</v>
      </c>
      <c r="G67" s="1">
        <v>13186.0</v>
      </c>
      <c r="H67" s="1" t="s">
        <v>20</v>
      </c>
      <c r="I67" s="1" t="s">
        <v>36</v>
      </c>
      <c r="J67" s="1" t="s">
        <v>22</v>
      </c>
      <c r="K67" s="5" t="s">
        <v>24</v>
      </c>
    </row>
    <row r="68">
      <c r="A68" s="1" t="s">
        <v>37</v>
      </c>
      <c r="B68" s="2">
        <v>45412.0</v>
      </c>
      <c r="C68" s="1" t="s">
        <v>14</v>
      </c>
      <c r="D68" s="1" t="s">
        <v>64</v>
      </c>
      <c r="E68" s="1" t="s">
        <v>61</v>
      </c>
      <c r="F68" s="1" t="s">
        <v>18</v>
      </c>
      <c r="G68" s="1">
        <v>12799.0</v>
      </c>
      <c r="H68" s="1" t="s">
        <v>20</v>
      </c>
      <c r="I68" s="1" t="s">
        <v>21</v>
      </c>
      <c r="J68" s="1" t="s">
        <v>22</v>
      </c>
      <c r="K68" s="5" t="s">
        <v>24</v>
      </c>
    </row>
    <row r="69">
      <c r="A69" s="1" t="s">
        <v>37</v>
      </c>
      <c r="B69" s="2">
        <v>45412.0</v>
      </c>
      <c r="C69" s="1" t="s">
        <v>14</v>
      </c>
      <c r="D69" s="1" t="s">
        <v>64</v>
      </c>
      <c r="E69" s="1" t="s">
        <v>61</v>
      </c>
      <c r="F69" s="1" t="s">
        <v>18</v>
      </c>
      <c r="G69" s="1">
        <v>12799.0</v>
      </c>
      <c r="H69" s="1" t="s">
        <v>20</v>
      </c>
      <c r="I69" s="1" t="s">
        <v>36</v>
      </c>
      <c r="J69" s="1" t="s">
        <v>22</v>
      </c>
      <c r="K69" s="5" t="s">
        <v>24</v>
      </c>
    </row>
    <row r="70">
      <c r="A70" s="1" t="s">
        <v>39</v>
      </c>
      <c r="B70" s="2">
        <v>45504.0</v>
      </c>
      <c r="C70" s="1" t="s">
        <v>14</v>
      </c>
      <c r="D70" s="1" t="s">
        <v>64</v>
      </c>
      <c r="E70" s="1" t="s">
        <v>61</v>
      </c>
      <c r="F70" s="1" t="s">
        <v>18</v>
      </c>
      <c r="G70" s="1">
        <v>13519.0</v>
      </c>
      <c r="H70" s="1" t="s">
        <v>20</v>
      </c>
      <c r="I70" s="1" t="s">
        <v>21</v>
      </c>
      <c r="J70" s="1" t="s">
        <v>22</v>
      </c>
      <c r="K70" s="5" t="s">
        <v>24</v>
      </c>
    </row>
    <row r="71">
      <c r="A71" s="1" t="s">
        <v>39</v>
      </c>
      <c r="B71" s="2">
        <v>45504.0</v>
      </c>
      <c r="C71" s="1" t="s">
        <v>14</v>
      </c>
      <c r="D71" s="1" t="s">
        <v>64</v>
      </c>
      <c r="E71" s="1" t="s">
        <v>61</v>
      </c>
      <c r="F71" s="1" t="s">
        <v>18</v>
      </c>
      <c r="G71" s="1">
        <v>13519.0</v>
      </c>
      <c r="H71" s="1" t="s">
        <v>20</v>
      </c>
      <c r="I71" s="1" t="s">
        <v>36</v>
      </c>
      <c r="J71" s="1" t="s">
        <v>22</v>
      </c>
      <c r="K71" s="5" t="s">
        <v>24</v>
      </c>
    </row>
    <row r="72">
      <c r="A72" s="1" t="s">
        <v>41</v>
      </c>
      <c r="B72" s="2">
        <v>45596.0</v>
      </c>
      <c r="C72" s="1" t="s">
        <v>14</v>
      </c>
      <c r="D72" s="1" t="s">
        <v>64</v>
      </c>
      <c r="E72" s="1" t="s">
        <v>61</v>
      </c>
      <c r="F72" s="1" t="s">
        <v>18</v>
      </c>
      <c r="G72" s="1">
        <v>14054.0</v>
      </c>
      <c r="H72" s="1" t="s">
        <v>20</v>
      </c>
      <c r="I72" s="1" t="s">
        <v>21</v>
      </c>
      <c r="J72" s="1" t="s">
        <v>22</v>
      </c>
      <c r="K72" s="5" t="s">
        <v>24</v>
      </c>
    </row>
    <row r="73">
      <c r="A73" s="1" t="s">
        <v>41</v>
      </c>
      <c r="B73" s="2">
        <v>45596.0</v>
      </c>
      <c r="C73" s="1" t="s">
        <v>14</v>
      </c>
      <c r="D73" s="1" t="s">
        <v>64</v>
      </c>
      <c r="E73" s="1" t="s">
        <v>61</v>
      </c>
      <c r="F73" s="1" t="s">
        <v>18</v>
      </c>
      <c r="G73" s="1">
        <v>14054.0</v>
      </c>
      <c r="H73" s="1" t="s">
        <v>20</v>
      </c>
      <c r="I73" s="1" t="s">
        <v>36</v>
      </c>
      <c r="J73" s="1" t="s">
        <v>22</v>
      </c>
      <c r="K73" s="5" t="s">
        <v>24</v>
      </c>
    </row>
    <row r="74">
      <c r="A74" s="1" t="s">
        <v>51</v>
      </c>
      <c r="B74" s="2">
        <v>45688.0</v>
      </c>
      <c r="C74" s="1" t="s">
        <v>52</v>
      </c>
      <c r="D74" s="1" t="s">
        <v>15</v>
      </c>
      <c r="E74" s="1" t="s">
        <v>17</v>
      </c>
      <c r="F74" s="1" t="s">
        <v>18</v>
      </c>
      <c r="G74" s="1">
        <v>6645.0</v>
      </c>
      <c r="H74" s="1" t="s">
        <v>20</v>
      </c>
      <c r="I74" s="1" t="s">
        <v>21</v>
      </c>
      <c r="J74" s="1" t="s">
        <v>22</v>
      </c>
      <c r="K74" s="5" t="s">
        <v>24</v>
      </c>
    </row>
    <row r="75">
      <c r="A75" s="1" t="s">
        <v>51</v>
      </c>
      <c r="B75" s="2">
        <v>45688.0</v>
      </c>
      <c r="C75" s="1" t="s">
        <v>52</v>
      </c>
      <c r="D75" s="1" t="s">
        <v>15</v>
      </c>
      <c r="E75" s="1" t="s">
        <v>17</v>
      </c>
      <c r="F75" s="1" t="s">
        <v>18</v>
      </c>
      <c r="G75" s="1">
        <v>6645.0</v>
      </c>
      <c r="H75" s="1" t="s">
        <v>20</v>
      </c>
      <c r="I75" s="1" t="s">
        <v>36</v>
      </c>
      <c r="J75" s="1" t="s">
        <v>22</v>
      </c>
      <c r="K75" s="5" t="s">
        <v>24</v>
      </c>
    </row>
    <row r="76">
      <c r="A76" s="1" t="s">
        <v>54</v>
      </c>
      <c r="B76" s="2">
        <v>45777.0</v>
      </c>
      <c r="C76" s="1" t="s">
        <v>52</v>
      </c>
      <c r="D76" s="1" t="s">
        <v>15</v>
      </c>
      <c r="E76" s="1" t="s">
        <v>17</v>
      </c>
      <c r="F76" s="1" t="s">
        <v>18</v>
      </c>
      <c r="G76" s="1">
        <v>6786.0</v>
      </c>
      <c r="H76" s="1" t="s">
        <v>20</v>
      </c>
      <c r="I76" s="1" t="s">
        <v>21</v>
      </c>
      <c r="J76" s="1" t="s">
        <v>22</v>
      </c>
      <c r="K76" s="5" t="s">
        <v>24</v>
      </c>
    </row>
    <row r="77">
      <c r="A77" s="1" t="s">
        <v>54</v>
      </c>
      <c r="B77" s="2">
        <v>45777.0</v>
      </c>
      <c r="C77" s="1" t="s">
        <v>52</v>
      </c>
      <c r="D77" s="1" t="s">
        <v>15</v>
      </c>
      <c r="E77" s="1" t="s">
        <v>17</v>
      </c>
      <c r="F77" s="1" t="s">
        <v>18</v>
      </c>
      <c r="G77" s="1">
        <v>6786.0</v>
      </c>
      <c r="H77" s="1" t="s">
        <v>20</v>
      </c>
      <c r="I77" s="1" t="s">
        <v>36</v>
      </c>
      <c r="J77" s="1" t="s">
        <v>22</v>
      </c>
      <c r="K77" s="5" t="s">
        <v>24</v>
      </c>
    </row>
    <row r="78">
      <c r="A78" s="1" t="s">
        <v>43</v>
      </c>
      <c r="B78" s="2">
        <v>45869.0</v>
      </c>
      <c r="C78" s="1" t="s">
        <v>52</v>
      </c>
      <c r="D78" s="1" t="s">
        <v>15</v>
      </c>
      <c r="E78" s="1" t="s">
        <v>17</v>
      </c>
      <c r="F78" s="1" t="s">
        <v>18</v>
      </c>
      <c r="G78" s="1">
        <v>7036.0</v>
      </c>
      <c r="H78" s="1" t="s">
        <v>20</v>
      </c>
      <c r="I78" s="1" t="s">
        <v>21</v>
      </c>
      <c r="J78" s="1" t="s">
        <v>22</v>
      </c>
      <c r="K78" s="5" t="s">
        <v>24</v>
      </c>
    </row>
    <row r="79">
      <c r="A79" s="1" t="s">
        <v>43</v>
      </c>
      <c r="B79" s="2">
        <v>45869.0</v>
      </c>
      <c r="C79" s="1" t="s">
        <v>52</v>
      </c>
      <c r="D79" s="1" t="s">
        <v>15</v>
      </c>
      <c r="E79" s="1" t="s">
        <v>17</v>
      </c>
      <c r="F79" s="1" t="s">
        <v>18</v>
      </c>
      <c r="G79" s="1">
        <v>7036.0</v>
      </c>
      <c r="H79" s="1" t="s">
        <v>20</v>
      </c>
      <c r="I79" s="1" t="s">
        <v>36</v>
      </c>
      <c r="J79" s="1" t="s">
        <v>22</v>
      </c>
      <c r="K79" s="5" t="s">
        <v>24</v>
      </c>
    </row>
    <row r="80">
      <c r="A80" s="1" t="s">
        <v>57</v>
      </c>
      <c r="B80" s="2">
        <v>45961.0</v>
      </c>
      <c r="C80" s="1" t="s">
        <v>52</v>
      </c>
      <c r="D80" s="1" t="s">
        <v>15</v>
      </c>
      <c r="E80" s="1" t="s">
        <v>17</v>
      </c>
      <c r="F80" s="1" t="s">
        <v>18</v>
      </c>
      <c r="G80" s="1">
        <v>6971.0</v>
      </c>
      <c r="H80" s="1" t="s">
        <v>20</v>
      </c>
      <c r="I80" s="1" t="s">
        <v>21</v>
      </c>
      <c r="J80" s="1" t="s">
        <v>22</v>
      </c>
      <c r="K80" s="5" t="s">
        <v>24</v>
      </c>
    </row>
    <row r="81">
      <c r="A81" s="1" t="s">
        <v>57</v>
      </c>
      <c r="B81" s="2">
        <v>45961.0</v>
      </c>
      <c r="C81" s="1" t="s">
        <v>52</v>
      </c>
      <c r="D81" s="1" t="s">
        <v>15</v>
      </c>
      <c r="E81" s="1" t="s">
        <v>17</v>
      </c>
      <c r="F81" s="1" t="s">
        <v>18</v>
      </c>
      <c r="G81" s="1">
        <v>6971.0</v>
      </c>
      <c r="H81" s="1" t="s">
        <v>20</v>
      </c>
      <c r="I81" s="1" t="s">
        <v>36</v>
      </c>
      <c r="J81" s="1" t="s">
        <v>22</v>
      </c>
      <c r="K81" s="5" t="s">
        <v>24</v>
      </c>
    </row>
    <row r="82">
      <c r="A82" s="1" t="s">
        <v>51</v>
      </c>
      <c r="B82" s="2">
        <v>45688.0</v>
      </c>
      <c r="C82" s="1" t="s">
        <v>52</v>
      </c>
      <c r="D82" s="1" t="s">
        <v>42</v>
      </c>
      <c r="E82" s="1" t="s">
        <v>17</v>
      </c>
      <c r="F82" s="1" t="s">
        <v>18</v>
      </c>
      <c r="G82" s="1">
        <v>2579.0</v>
      </c>
      <c r="H82" s="1" t="s">
        <v>20</v>
      </c>
      <c r="I82" s="1" t="s">
        <v>21</v>
      </c>
      <c r="J82" s="1" t="s">
        <v>22</v>
      </c>
      <c r="K82" s="5" t="s">
        <v>24</v>
      </c>
    </row>
    <row r="83">
      <c r="A83" s="1" t="s">
        <v>51</v>
      </c>
      <c r="B83" s="2">
        <v>45688.0</v>
      </c>
      <c r="C83" s="1" t="s">
        <v>52</v>
      </c>
      <c r="D83" s="1" t="s">
        <v>42</v>
      </c>
      <c r="E83" s="1" t="s">
        <v>17</v>
      </c>
      <c r="F83" s="1" t="s">
        <v>18</v>
      </c>
      <c r="G83" s="1">
        <v>2579.0</v>
      </c>
      <c r="H83" s="1" t="s">
        <v>20</v>
      </c>
      <c r="I83" s="1" t="s">
        <v>36</v>
      </c>
      <c r="J83" s="1" t="s">
        <v>22</v>
      </c>
      <c r="K83" s="5" t="s">
        <v>24</v>
      </c>
    </row>
    <row r="84">
      <c r="A84" s="1" t="s">
        <v>54</v>
      </c>
      <c r="B84" s="2">
        <v>45777.0</v>
      </c>
      <c r="C84" s="1" t="s">
        <v>52</v>
      </c>
      <c r="D84" s="1" t="s">
        <v>42</v>
      </c>
      <c r="E84" s="1" t="s">
        <v>17</v>
      </c>
      <c r="F84" s="1" t="s">
        <v>18</v>
      </c>
      <c r="G84" s="1">
        <v>2238.0</v>
      </c>
      <c r="H84" s="1" t="s">
        <v>20</v>
      </c>
      <c r="I84" s="1" t="s">
        <v>21</v>
      </c>
      <c r="J84" s="1" t="s">
        <v>22</v>
      </c>
      <c r="K84" s="5" t="s">
        <v>24</v>
      </c>
    </row>
    <row r="85">
      <c r="A85" s="1" t="s">
        <v>54</v>
      </c>
      <c r="B85" s="2">
        <v>45777.0</v>
      </c>
      <c r="C85" s="1" t="s">
        <v>52</v>
      </c>
      <c r="D85" s="1" t="s">
        <v>42</v>
      </c>
      <c r="E85" s="1" t="s">
        <v>17</v>
      </c>
      <c r="F85" s="1" t="s">
        <v>18</v>
      </c>
      <c r="G85" s="1">
        <v>2238.0</v>
      </c>
      <c r="H85" s="1" t="s">
        <v>20</v>
      </c>
      <c r="I85" s="1" t="s">
        <v>36</v>
      </c>
      <c r="J85" s="1" t="s">
        <v>22</v>
      </c>
      <c r="K85" s="5" t="s">
        <v>24</v>
      </c>
    </row>
    <row r="86">
      <c r="A86" s="1" t="s">
        <v>43</v>
      </c>
      <c r="B86" s="2">
        <v>45869.0</v>
      </c>
      <c r="C86" s="1" t="s">
        <v>52</v>
      </c>
      <c r="D86" s="1" t="s">
        <v>42</v>
      </c>
      <c r="E86" s="1" t="s">
        <v>17</v>
      </c>
      <c r="F86" s="1" t="s">
        <v>18</v>
      </c>
      <c r="G86" s="1">
        <v>2895.0</v>
      </c>
      <c r="H86" s="1" t="s">
        <v>20</v>
      </c>
      <c r="I86" s="1" t="s">
        <v>21</v>
      </c>
      <c r="J86" s="1" t="s">
        <v>22</v>
      </c>
      <c r="K86" s="5" t="s">
        <v>24</v>
      </c>
    </row>
    <row r="87">
      <c r="A87" s="1" t="s">
        <v>43</v>
      </c>
      <c r="B87" s="2">
        <v>45869.0</v>
      </c>
      <c r="C87" s="1" t="s">
        <v>52</v>
      </c>
      <c r="D87" s="1" t="s">
        <v>42</v>
      </c>
      <c r="E87" s="1" t="s">
        <v>17</v>
      </c>
      <c r="F87" s="1" t="s">
        <v>18</v>
      </c>
      <c r="G87" s="1">
        <v>2895.0</v>
      </c>
      <c r="H87" s="1" t="s">
        <v>20</v>
      </c>
      <c r="I87" s="1" t="s">
        <v>36</v>
      </c>
      <c r="J87" s="1" t="s">
        <v>22</v>
      </c>
      <c r="K87" s="5" t="s">
        <v>24</v>
      </c>
    </row>
    <row r="88">
      <c r="A88" s="1" t="s">
        <v>57</v>
      </c>
      <c r="B88" s="2">
        <v>45961.0</v>
      </c>
      <c r="C88" s="1" t="s">
        <v>52</v>
      </c>
      <c r="D88" s="1" t="s">
        <v>42</v>
      </c>
      <c r="E88" s="1" t="s">
        <v>17</v>
      </c>
      <c r="F88" s="1" t="s">
        <v>18</v>
      </c>
      <c r="G88" s="1">
        <v>3382.0</v>
      </c>
      <c r="H88" s="1" t="s">
        <v>20</v>
      </c>
      <c r="I88" s="1" t="s">
        <v>21</v>
      </c>
      <c r="J88" s="1" t="s">
        <v>22</v>
      </c>
      <c r="K88" s="5" t="s">
        <v>24</v>
      </c>
    </row>
    <row r="89">
      <c r="A89" s="1" t="s">
        <v>57</v>
      </c>
      <c r="B89" s="2">
        <v>45961.0</v>
      </c>
      <c r="C89" s="1" t="s">
        <v>52</v>
      </c>
      <c r="D89" s="1" t="s">
        <v>42</v>
      </c>
      <c r="E89" s="1" t="s">
        <v>17</v>
      </c>
      <c r="F89" s="1" t="s">
        <v>18</v>
      </c>
      <c r="G89" s="1">
        <v>3382.0</v>
      </c>
      <c r="H89" s="1" t="s">
        <v>20</v>
      </c>
      <c r="I89" s="1" t="s">
        <v>36</v>
      </c>
      <c r="J89" s="1" t="s">
        <v>22</v>
      </c>
      <c r="K89" s="5" t="s">
        <v>24</v>
      </c>
    </row>
    <row r="90">
      <c r="A90" s="1" t="s">
        <v>51</v>
      </c>
      <c r="B90" s="2">
        <v>45688.0</v>
      </c>
      <c r="C90" s="1" t="s">
        <v>52</v>
      </c>
      <c r="D90" s="1" t="s">
        <v>17</v>
      </c>
      <c r="E90" s="1" t="s">
        <v>17</v>
      </c>
      <c r="F90" s="1" t="s">
        <v>18</v>
      </c>
      <c r="G90" s="1">
        <v>9224.0</v>
      </c>
      <c r="H90" s="1" t="s">
        <v>20</v>
      </c>
      <c r="I90" s="1" t="s">
        <v>21</v>
      </c>
      <c r="J90" s="1" t="s">
        <v>22</v>
      </c>
      <c r="K90" s="5" t="s">
        <v>24</v>
      </c>
    </row>
    <row r="91">
      <c r="A91" s="1" t="s">
        <v>51</v>
      </c>
      <c r="B91" s="2">
        <v>45688.0</v>
      </c>
      <c r="C91" s="1" t="s">
        <v>52</v>
      </c>
      <c r="D91" s="1" t="s">
        <v>17</v>
      </c>
      <c r="E91" s="1" t="s">
        <v>17</v>
      </c>
      <c r="F91" s="1" t="s">
        <v>18</v>
      </c>
      <c r="G91" s="1">
        <v>9224.0</v>
      </c>
      <c r="H91" s="1" t="s">
        <v>20</v>
      </c>
      <c r="I91" s="1" t="s">
        <v>36</v>
      </c>
      <c r="J91" s="1" t="s">
        <v>22</v>
      </c>
      <c r="K91" s="5" t="s">
        <v>24</v>
      </c>
    </row>
    <row r="92">
      <c r="A92" s="1" t="s">
        <v>54</v>
      </c>
      <c r="B92" s="2">
        <v>45777.0</v>
      </c>
      <c r="C92" s="1" t="s">
        <v>52</v>
      </c>
      <c r="D92" s="1" t="s">
        <v>17</v>
      </c>
      <c r="E92" s="1" t="s">
        <v>17</v>
      </c>
      <c r="F92" s="1" t="s">
        <v>18</v>
      </c>
      <c r="G92" s="1">
        <v>9024.0</v>
      </c>
      <c r="H92" s="1" t="s">
        <v>20</v>
      </c>
      <c r="I92" s="1" t="s">
        <v>21</v>
      </c>
      <c r="J92" s="1" t="s">
        <v>22</v>
      </c>
      <c r="K92" s="5" t="s">
        <v>24</v>
      </c>
    </row>
    <row r="93">
      <c r="A93" s="1" t="s">
        <v>54</v>
      </c>
      <c r="B93" s="2">
        <v>45777.0</v>
      </c>
      <c r="C93" s="1" t="s">
        <v>52</v>
      </c>
      <c r="D93" s="1" t="s">
        <v>17</v>
      </c>
      <c r="E93" s="1" t="s">
        <v>17</v>
      </c>
      <c r="F93" s="1" t="s">
        <v>18</v>
      </c>
      <c r="G93" s="1">
        <v>9024.0</v>
      </c>
      <c r="H93" s="1" t="s">
        <v>20</v>
      </c>
      <c r="I93" s="1" t="s">
        <v>36</v>
      </c>
      <c r="J93" s="1" t="s">
        <v>22</v>
      </c>
      <c r="K93" s="5" t="s">
        <v>24</v>
      </c>
    </row>
    <row r="94">
      <c r="A94" s="1" t="s">
        <v>43</v>
      </c>
      <c r="B94" s="2">
        <v>45869.0</v>
      </c>
      <c r="C94" s="1" t="s">
        <v>52</v>
      </c>
      <c r="D94" s="1" t="s">
        <v>17</v>
      </c>
      <c r="E94" s="1" t="s">
        <v>17</v>
      </c>
      <c r="F94" s="1" t="s">
        <v>18</v>
      </c>
      <c r="G94" s="1">
        <v>9931.0</v>
      </c>
      <c r="H94" s="1" t="s">
        <v>20</v>
      </c>
      <c r="I94" s="1" t="s">
        <v>21</v>
      </c>
      <c r="J94" s="1" t="s">
        <v>22</v>
      </c>
      <c r="K94" s="5" t="s">
        <v>24</v>
      </c>
    </row>
    <row r="95">
      <c r="A95" s="1" t="s">
        <v>43</v>
      </c>
      <c r="B95" s="2">
        <v>45869.0</v>
      </c>
      <c r="C95" s="1" t="s">
        <v>52</v>
      </c>
      <c r="D95" s="1" t="s">
        <v>17</v>
      </c>
      <c r="E95" s="1" t="s">
        <v>17</v>
      </c>
      <c r="F95" s="1" t="s">
        <v>18</v>
      </c>
      <c r="G95" s="1">
        <v>9931.0</v>
      </c>
      <c r="H95" s="1" t="s">
        <v>20</v>
      </c>
      <c r="I95" s="1" t="s">
        <v>36</v>
      </c>
      <c r="J95" s="1" t="s">
        <v>22</v>
      </c>
      <c r="K95" s="5" t="s">
        <v>24</v>
      </c>
    </row>
    <row r="96">
      <c r="A96" s="1" t="s">
        <v>57</v>
      </c>
      <c r="B96" s="2">
        <v>45961.0</v>
      </c>
      <c r="C96" s="1" t="s">
        <v>52</v>
      </c>
      <c r="D96" s="1" t="s">
        <v>17</v>
      </c>
      <c r="E96" s="1" t="s">
        <v>17</v>
      </c>
      <c r="F96" s="1" t="s">
        <v>18</v>
      </c>
      <c r="G96" s="1">
        <v>10353.0</v>
      </c>
      <c r="H96" s="1" t="s">
        <v>20</v>
      </c>
      <c r="I96" s="1" t="s">
        <v>21</v>
      </c>
      <c r="J96" s="1" t="s">
        <v>22</v>
      </c>
      <c r="K96" s="5" t="s">
        <v>24</v>
      </c>
    </row>
    <row r="97">
      <c r="A97" s="1" t="s">
        <v>57</v>
      </c>
      <c r="B97" s="2">
        <v>45961.0</v>
      </c>
      <c r="C97" s="1" t="s">
        <v>52</v>
      </c>
      <c r="D97" s="1" t="s">
        <v>17</v>
      </c>
      <c r="E97" s="1" t="s">
        <v>17</v>
      </c>
      <c r="F97" s="1" t="s">
        <v>18</v>
      </c>
      <c r="G97" s="1">
        <v>10353.0</v>
      </c>
      <c r="H97" s="1" t="s">
        <v>20</v>
      </c>
      <c r="I97" s="1" t="s">
        <v>36</v>
      </c>
      <c r="J97" s="1" t="s">
        <v>22</v>
      </c>
      <c r="K97" s="5" t="s">
        <v>24</v>
      </c>
    </row>
    <row r="98">
      <c r="A98" s="1" t="s">
        <v>51</v>
      </c>
      <c r="B98" s="2">
        <v>45688.0</v>
      </c>
      <c r="C98" s="1" t="s">
        <v>52</v>
      </c>
      <c r="D98" s="1" t="s">
        <v>48</v>
      </c>
      <c r="E98" s="1" t="s">
        <v>50</v>
      </c>
      <c r="F98" s="1" t="s">
        <v>18</v>
      </c>
      <c r="G98" s="1">
        <v>2829.0</v>
      </c>
      <c r="H98" s="1" t="s">
        <v>20</v>
      </c>
      <c r="I98" s="1" t="s">
        <v>21</v>
      </c>
      <c r="J98" s="1" t="s">
        <v>22</v>
      </c>
      <c r="K98" s="5" t="s">
        <v>24</v>
      </c>
    </row>
    <row r="99">
      <c r="A99" s="1" t="s">
        <v>51</v>
      </c>
      <c r="B99" s="2">
        <v>45688.0</v>
      </c>
      <c r="C99" s="1" t="s">
        <v>52</v>
      </c>
      <c r="D99" s="1" t="s">
        <v>48</v>
      </c>
      <c r="E99" s="1" t="s">
        <v>50</v>
      </c>
      <c r="F99" s="1" t="s">
        <v>18</v>
      </c>
      <c r="G99" s="1">
        <v>2826.0</v>
      </c>
      <c r="H99" s="1" t="s">
        <v>20</v>
      </c>
      <c r="I99" s="1" t="s">
        <v>36</v>
      </c>
      <c r="J99" s="1" t="s">
        <v>22</v>
      </c>
      <c r="K99" s="5" t="s">
        <v>24</v>
      </c>
    </row>
    <row r="100">
      <c r="A100" s="1" t="s">
        <v>54</v>
      </c>
      <c r="B100" s="2">
        <v>45777.0</v>
      </c>
      <c r="C100" s="1" t="s">
        <v>52</v>
      </c>
      <c r="D100" s="1" t="s">
        <v>48</v>
      </c>
      <c r="E100" s="1" t="s">
        <v>50</v>
      </c>
      <c r="F100" s="1" t="s">
        <v>18</v>
      </c>
      <c r="G100" s="1">
        <v>2728.0</v>
      </c>
      <c r="H100" s="1" t="s">
        <v>20</v>
      </c>
      <c r="I100" s="1" t="s">
        <v>21</v>
      </c>
      <c r="J100" s="1" t="s">
        <v>22</v>
      </c>
      <c r="K100" s="5" t="s">
        <v>24</v>
      </c>
    </row>
    <row r="101">
      <c r="A101" s="1" t="s">
        <v>54</v>
      </c>
      <c r="B101" s="2">
        <v>45777.0</v>
      </c>
      <c r="C101" s="1" t="s">
        <v>52</v>
      </c>
      <c r="D101" s="1" t="s">
        <v>48</v>
      </c>
      <c r="E101" s="1" t="s">
        <v>50</v>
      </c>
      <c r="F101" s="1" t="s">
        <v>18</v>
      </c>
      <c r="G101" s="1">
        <v>2725.0</v>
      </c>
      <c r="H101" s="1" t="s">
        <v>20</v>
      </c>
      <c r="I101" s="1" t="s">
        <v>36</v>
      </c>
      <c r="J101" s="1" t="s">
        <v>22</v>
      </c>
      <c r="K101" s="5" t="s">
        <v>24</v>
      </c>
    </row>
    <row r="102">
      <c r="A102" s="1" t="s">
        <v>43</v>
      </c>
      <c r="B102" s="2">
        <v>45869.0</v>
      </c>
      <c r="C102" s="1" t="s">
        <v>52</v>
      </c>
      <c r="D102" s="1" t="s">
        <v>48</v>
      </c>
      <c r="E102" s="1" t="s">
        <v>50</v>
      </c>
      <c r="F102" s="1" t="s">
        <v>18</v>
      </c>
      <c r="G102" s="1">
        <v>2609.0</v>
      </c>
      <c r="H102" s="1" t="s">
        <v>20</v>
      </c>
      <c r="I102" s="1" t="s">
        <v>21</v>
      </c>
      <c r="J102" s="1" t="s">
        <v>22</v>
      </c>
      <c r="K102" s="5" t="s">
        <v>24</v>
      </c>
    </row>
    <row r="103">
      <c r="A103" s="1" t="s">
        <v>43</v>
      </c>
      <c r="B103" s="2">
        <v>45869.0</v>
      </c>
      <c r="C103" s="1" t="s">
        <v>52</v>
      </c>
      <c r="D103" s="1" t="s">
        <v>48</v>
      </c>
      <c r="E103" s="1" t="s">
        <v>50</v>
      </c>
      <c r="F103" s="1" t="s">
        <v>18</v>
      </c>
      <c r="G103" s="1">
        <v>2604.0</v>
      </c>
      <c r="H103" s="1" t="s">
        <v>20</v>
      </c>
      <c r="I103" s="1" t="s">
        <v>36</v>
      </c>
      <c r="J103" s="1" t="s">
        <v>22</v>
      </c>
      <c r="K103" s="5" t="s">
        <v>24</v>
      </c>
    </row>
    <row r="104">
      <c r="A104" s="1" t="s">
        <v>57</v>
      </c>
      <c r="B104" s="2">
        <v>45961.0</v>
      </c>
      <c r="C104" s="1" t="s">
        <v>52</v>
      </c>
      <c r="D104" s="1" t="s">
        <v>48</v>
      </c>
      <c r="E104" s="1" t="s">
        <v>50</v>
      </c>
      <c r="F104" s="1" t="s">
        <v>18</v>
      </c>
      <c r="G104" s="1">
        <v>2767.0</v>
      </c>
      <c r="H104" s="1" t="s">
        <v>20</v>
      </c>
      <c r="I104" s="1" t="s">
        <v>21</v>
      </c>
      <c r="J104" s="1" t="s">
        <v>22</v>
      </c>
      <c r="K104" s="5" t="s">
        <v>24</v>
      </c>
    </row>
    <row r="105">
      <c r="A105" s="1" t="s">
        <v>57</v>
      </c>
      <c r="B105" s="2">
        <v>45961.0</v>
      </c>
      <c r="C105" s="1" t="s">
        <v>52</v>
      </c>
      <c r="D105" s="1" t="s">
        <v>48</v>
      </c>
      <c r="E105" s="1" t="s">
        <v>50</v>
      </c>
      <c r="F105" s="1" t="s">
        <v>18</v>
      </c>
      <c r="G105" s="1">
        <v>2761.0</v>
      </c>
      <c r="H105" s="1" t="s">
        <v>20</v>
      </c>
      <c r="I105" s="1" t="s">
        <v>36</v>
      </c>
      <c r="J105" s="1" t="s">
        <v>22</v>
      </c>
      <c r="K105" s="5" t="s">
        <v>24</v>
      </c>
    </row>
    <row r="106">
      <c r="A106" s="1" t="s">
        <v>51</v>
      </c>
      <c r="B106" s="2">
        <v>45688.0</v>
      </c>
      <c r="C106" s="1" t="s">
        <v>52</v>
      </c>
      <c r="D106" s="1" t="s">
        <v>53</v>
      </c>
      <c r="E106" s="1" t="s">
        <v>50</v>
      </c>
      <c r="F106" s="1" t="s">
        <v>18</v>
      </c>
      <c r="G106" s="1">
        <v>1144.0</v>
      </c>
      <c r="H106" s="1" t="s">
        <v>20</v>
      </c>
      <c r="I106" s="1" t="s">
        <v>21</v>
      </c>
      <c r="J106" s="1" t="s">
        <v>22</v>
      </c>
      <c r="K106" s="5" t="s">
        <v>24</v>
      </c>
    </row>
    <row r="107">
      <c r="A107" s="1" t="s">
        <v>51</v>
      </c>
      <c r="B107" s="2">
        <v>45688.0</v>
      </c>
      <c r="C107" s="1" t="s">
        <v>52</v>
      </c>
      <c r="D107" s="1" t="s">
        <v>53</v>
      </c>
      <c r="E107" s="1" t="s">
        <v>50</v>
      </c>
      <c r="F107" s="1" t="s">
        <v>18</v>
      </c>
      <c r="G107" s="1">
        <v>1144.0</v>
      </c>
      <c r="H107" s="1" t="s">
        <v>20</v>
      </c>
      <c r="I107" s="1" t="s">
        <v>36</v>
      </c>
      <c r="J107" s="1" t="s">
        <v>22</v>
      </c>
      <c r="K107" s="5" t="s">
        <v>24</v>
      </c>
    </row>
    <row r="108">
      <c r="A108" s="1" t="s">
        <v>54</v>
      </c>
      <c r="B108" s="2">
        <v>45777.0</v>
      </c>
      <c r="C108" s="1" t="s">
        <v>52</v>
      </c>
      <c r="D108" s="1" t="s">
        <v>53</v>
      </c>
      <c r="E108" s="1" t="s">
        <v>50</v>
      </c>
      <c r="F108" s="1" t="s">
        <v>18</v>
      </c>
      <c r="G108" s="1">
        <v>1167.0</v>
      </c>
      <c r="H108" s="1" t="s">
        <v>20</v>
      </c>
      <c r="I108" s="1" t="s">
        <v>21</v>
      </c>
      <c r="J108" s="1" t="s">
        <v>22</v>
      </c>
      <c r="K108" s="5" t="s">
        <v>24</v>
      </c>
    </row>
    <row r="109">
      <c r="A109" s="1" t="s">
        <v>54</v>
      </c>
      <c r="B109" s="2">
        <v>45777.0</v>
      </c>
      <c r="C109" s="1" t="s">
        <v>52</v>
      </c>
      <c r="D109" s="1" t="s">
        <v>53</v>
      </c>
      <c r="E109" s="1" t="s">
        <v>50</v>
      </c>
      <c r="F109" s="1" t="s">
        <v>18</v>
      </c>
      <c r="G109" s="1">
        <v>1167.0</v>
      </c>
      <c r="H109" s="1" t="s">
        <v>20</v>
      </c>
      <c r="I109" s="1" t="s">
        <v>36</v>
      </c>
      <c r="J109" s="1" t="s">
        <v>22</v>
      </c>
      <c r="K109" s="5" t="s">
        <v>24</v>
      </c>
    </row>
    <row r="110">
      <c r="A110" s="1" t="s">
        <v>43</v>
      </c>
      <c r="B110" s="2">
        <v>45869.0</v>
      </c>
      <c r="C110" s="1" t="s">
        <v>52</v>
      </c>
      <c r="D110" s="1" t="s">
        <v>53</v>
      </c>
      <c r="E110" s="1" t="s">
        <v>50</v>
      </c>
      <c r="F110" s="1" t="s">
        <v>18</v>
      </c>
      <c r="G110" s="1">
        <v>1113.0</v>
      </c>
      <c r="H110" s="1" t="s">
        <v>20</v>
      </c>
      <c r="I110" s="1" t="s">
        <v>21</v>
      </c>
      <c r="J110" s="1" t="s">
        <v>22</v>
      </c>
      <c r="K110" s="5" t="s">
        <v>24</v>
      </c>
    </row>
    <row r="111">
      <c r="A111" s="1" t="s">
        <v>43</v>
      </c>
      <c r="B111" s="2">
        <v>45869.0</v>
      </c>
      <c r="C111" s="1" t="s">
        <v>52</v>
      </c>
      <c r="D111" s="1" t="s">
        <v>53</v>
      </c>
      <c r="E111" s="1" t="s">
        <v>50</v>
      </c>
      <c r="F111" s="1" t="s">
        <v>18</v>
      </c>
      <c r="G111" s="1">
        <v>1113.0</v>
      </c>
      <c r="H111" s="1" t="s">
        <v>20</v>
      </c>
      <c r="I111" s="1" t="s">
        <v>36</v>
      </c>
      <c r="J111" s="1" t="s">
        <v>22</v>
      </c>
      <c r="K111" s="5" t="s">
        <v>24</v>
      </c>
    </row>
    <row r="112">
      <c r="A112" s="1" t="s">
        <v>57</v>
      </c>
      <c r="B112" s="2">
        <v>45961.0</v>
      </c>
      <c r="C112" s="1" t="s">
        <v>52</v>
      </c>
      <c r="D112" s="1" t="s">
        <v>53</v>
      </c>
      <c r="E112" s="1" t="s">
        <v>50</v>
      </c>
      <c r="F112" s="1" t="s">
        <v>18</v>
      </c>
      <c r="G112" s="1">
        <v>1209.0</v>
      </c>
      <c r="H112" s="1" t="s">
        <v>20</v>
      </c>
      <c r="I112" s="1" t="s">
        <v>21</v>
      </c>
      <c r="J112" s="1" t="s">
        <v>22</v>
      </c>
      <c r="K112" s="5" t="s">
        <v>24</v>
      </c>
    </row>
    <row r="113">
      <c r="A113" s="1" t="s">
        <v>57</v>
      </c>
      <c r="B113" s="2">
        <v>45961.0</v>
      </c>
      <c r="C113" s="1" t="s">
        <v>52</v>
      </c>
      <c r="D113" s="1" t="s">
        <v>53</v>
      </c>
      <c r="E113" s="1" t="s">
        <v>50</v>
      </c>
      <c r="F113" s="1" t="s">
        <v>18</v>
      </c>
      <c r="G113" s="1">
        <v>1209.0</v>
      </c>
      <c r="H113" s="1" t="s">
        <v>20</v>
      </c>
      <c r="I113" s="1" t="s">
        <v>36</v>
      </c>
      <c r="J113" s="1" t="s">
        <v>22</v>
      </c>
      <c r="K113" s="5" t="s">
        <v>24</v>
      </c>
    </row>
    <row r="114">
      <c r="A114" s="1" t="s">
        <v>51</v>
      </c>
      <c r="B114" s="2">
        <v>45688.0</v>
      </c>
      <c r="C114" s="1" t="s">
        <v>52</v>
      </c>
      <c r="D114" s="1" t="s">
        <v>55</v>
      </c>
      <c r="E114" s="1" t="s">
        <v>50</v>
      </c>
      <c r="F114" s="1" t="s">
        <v>18</v>
      </c>
      <c r="G114" s="1">
        <v>307.0</v>
      </c>
      <c r="H114" s="1" t="s">
        <v>20</v>
      </c>
      <c r="I114" s="1" t="s">
        <v>21</v>
      </c>
      <c r="J114" s="1" t="s">
        <v>22</v>
      </c>
      <c r="K114" s="5" t="s">
        <v>24</v>
      </c>
    </row>
    <row r="115">
      <c r="A115" s="1" t="s">
        <v>51</v>
      </c>
      <c r="B115" s="2">
        <v>45688.0</v>
      </c>
      <c r="C115" s="1" t="s">
        <v>52</v>
      </c>
      <c r="D115" s="1" t="s">
        <v>55</v>
      </c>
      <c r="E115" s="1" t="s">
        <v>50</v>
      </c>
      <c r="F115" s="1" t="s">
        <v>18</v>
      </c>
      <c r="G115" s="1">
        <v>299.0</v>
      </c>
      <c r="H115" s="1" t="s">
        <v>20</v>
      </c>
      <c r="I115" s="1" t="s">
        <v>36</v>
      </c>
      <c r="J115" s="1" t="s">
        <v>22</v>
      </c>
      <c r="K115" s="5" t="s">
        <v>24</v>
      </c>
    </row>
    <row r="116">
      <c r="A116" s="1" t="s">
        <v>54</v>
      </c>
      <c r="B116" s="2">
        <v>45777.0</v>
      </c>
      <c r="C116" s="1" t="s">
        <v>52</v>
      </c>
      <c r="D116" s="1" t="s">
        <v>55</v>
      </c>
      <c r="E116" s="1" t="s">
        <v>50</v>
      </c>
      <c r="F116" s="1" t="s">
        <v>18</v>
      </c>
      <c r="G116" s="1">
        <v>302.0</v>
      </c>
      <c r="H116" s="1" t="s">
        <v>20</v>
      </c>
      <c r="I116" s="1" t="s">
        <v>21</v>
      </c>
      <c r="J116" s="1" t="s">
        <v>22</v>
      </c>
      <c r="K116" s="5" t="s">
        <v>24</v>
      </c>
    </row>
    <row r="117">
      <c r="A117" s="1" t="s">
        <v>54</v>
      </c>
      <c r="B117" s="2">
        <v>45777.0</v>
      </c>
      <c r="C117" s="1" t="s">
        <v>52</v>
      </c>
      <c r="D117" s="1" t="s">
        <v>55</v>
      </c>
      <c r="E117" s="1" t="s">
        <v>50</v>
      </c>
      <c r="F117" s="1" t="s">
        <v>18</v>
      </c>
      <c r="G117" s="1">
        <v>289.0</v>
      </c>
      <c r="H117" s="1" t="s">
        <v>20</v>
      </c>
      <c r="I117" s="1" t="s">
        <v>36</v>
      </c>
      <c r="J117" s="1" t="s">
        <v>22</v>
      </c>
      <c r="K117" s="5" t="s">
        <v>24</v>
      </c>
    </row>
    <row r="118">
      <c r="A118" s="1" t="s">
        <v>43</v>
      </c>
      <c r="B118" s="2">
        <v>45869.0</v>
      </c>
      <c r="C118" s="1" t="s">
        <v>52</v>
      </c>
      <c r="D118" s="1" t="s">
        <v>55</v>
      </c>
      <c r="E118" s="1" t="s">
        <v>50</v>
      </c>
      <c r="F118" s="1" t="s">
        <v>18</v>
      </c>
      <c r="G118" s="1">
        <v>280.0</v>
      </c>
      <c r="H118" s="1" t="s">
        <v>20</v>
      </c>
      <c r="I118" s="1" t="s">
        <v>21</v>
      </c>
      <c r="J118" s="1" t="s">
        <v>22</v>
      </c>
      <c r="K118" s="5" t="s">
        <v>24</v>
      </c>
    </row>
    <row r="119">
      <c r="A119" s="1" t="s">
        <v>43</v>
      </c>
      <c r="B119" s="2">
        <v>45869.0</v>
      </c>
      <c r="C119" s="1" t="s">
        <v>52</v>
      </c>
      <c r="D119" s="1" t="s">
        <v>55</v>
      </c>
      <c r="E119" s="1" t="s">
        <v>50</v>
      </c>
      <c r="F119" s="1" t="s">
        <v>18</v>
      </c>
      <c r="G119" s="1">
        <v>269.0</v>
      </c>
      <c r="H119" s="1" t="s">
        <v>20</v>
      </c>
      <c r="I119" s="1" t="s">
        <v>36</v>
      </c>
      <c r="J119" s="1" t="s">
        <v>22</v>
      </c>
      <c r="K119" s="5" t="s">
        <v>24</v>
      </c>
    </row>
    <row r="120">
      <c r="A120" s="1" t="s">
        <v>57</v>
      </c>
      <c r="B120" s="2">
        <v>45961.0</v>
      </c>
      <c r="C120" s="1" t="s">
        <v>52</v>
      </c>
      <c r="D120" s="1" t="s">
        <v>55</v>
      </c>
      <c r="E120" s="1" t="s">
        <v>50</v>
      </c>
      <c r="F120" s="1" t="s">
        <v>18</v>
      </c>
      <c r="G120" s="1">
        <v>309.0</v>
      </c>
      <c r="H120" s="1" t="s">
        <v>20</v>
      </c>
      <c r="I120" s="1" t="s">
        <v>21</v>
      </c>
      <c r="J120" s="1" t="s">
        <v>22</v>
      </c>
      <c r="K120" s="5" t="s">
        <v>24</v>
      </c>
    </row>
    <row r="121">
      <c r="A121" s="1" t="s">
        <v>57</v>
      </c>
      <c r="B121" s="2">
        <v>45961.0</v>
      </c>
      <c r="C121" s="1" t="s">
        <v>52</v>
      </c>
      <c r="D121" s="1" t="s">
        <v>55</v>
      </c>
      <c r="E121" s="1" t="s">
        <v>50</v>
      </c>
      <c r="F121" s="1" t="s">
        <v>18</v>
      </c>
      <c r="G121" s="1">
        <v>296.0</v>
      </c>
      <c r="H121" s="1" t="s">
        <v>20</v>
      </c>
      <c r="I121" s="1" t="s">
        <v>36</v>
      </c>
      <c r="J121" s="1" t="s">
        <v>22</v>
      </c>
      <c r="K121" s="5" t="s">
        <v>24</v>
      </c>
    </row>
    <row r="122">
      <c r="A122" s="1" t="s">
        <v>51</v>
      </c>
      <c r="B122" s="2">
        <v>45688.0</v>
      </c>
      <c r="C122" s="1" t="s">
        <v>52</v>
      </c>
      <c r="D122" s="1" t="s">
        <v>50</v>
      </c>
      <c r="E122" s="1" t="s">
        <v>50</v>
      </c>
      <c r="F122" s="1" t="s">
        <v>18</v>
      </c>
      <c r="G122" s="1">
        <v>4280.0</v>
      </c>
      <c r="H122" s="1" t="s">
        <v>20</v>
      </c>
      <c r="I122" s="1" t="s">
        <v>21</v>
      </c>
      <c r="J122" s="1" t="s">
        <v>22</v>
      </c>
      <c r="K122" s="5" t="s">
        <v>24</v>
      </c>
    </row>
    <row r="123">
      <c r="A123" s="1" t="s">
        <v>51</v>
      </c>
      <c r="B123" s="2">
        <v>45688.0</v>
      </c>
      <c r="C123" s="1" t="s">
        <v>52</v>
      </c>
      <c r="D123" s="1" t="s">
        <v>50</v>
      </c>
      <c r="E123" s="1" t="s">
        <v>50</v>
      </c>
      <c r="F123" s="1" t="s">
        <v>18</v>
      </c>
      <c r="G123" s="1">
        <v>4269.0</v>
      </c>
      <c r="H123" s="1" t="s">
        <v>20</v>
      </c>
      <c r="I123" s="1" t="s">
        <v>36</v>
      </c>
      <c r="J123" s="1" t="s">
        <v>22</v>
      </c>
      <c r="K123" s="5" t="s">
        <v>24</v>
      </c>
    </row>
    <row r="124">
      <c r="A124" s="1" t="s">
        <v>54</v>
      </c>
      <c r="B124" s="2">
        <v>45777.0</v>
      </c>
      <c r="C124" s="1" t="s">
        <v>52</v>
      </c>
      <c r="D124" s="1" t="s">
        <v>50</v>
      </c>
      <c r="E124" s="1" t="s">
        <v>50</v>
      </c>
      <c r="F124" s="1" t="s">
        <v>18</v>
      </c>
      <c r="G124" s="1">
        <v>4197.0</v>
      </c>
      <c r="H124" s="1" t="s">
        <v>20</v>
      </c>
      <c r="I124" s="1" t="s">
        <v>21</v>
      </c>
      <c r="J124" s="1" t="s">
        <v>22</v>
      </c>
      <c r="K124" s="5" t="s">
        <v>24</v>
      </c>
    </row>
    <row r="125">
      <c r="A125" s="1" t="s">
        <v>54</v>
      </c>
      <c r="B125" s="2">
        <v>45777.0</v>
      </c>
      <c r="C125" s="1" t="s">
        <v>52</v>
      </c>
      <c r="D125" s="1" t="s">
        <v>50</v>
      </c>
      <c r="E125" s="1" t="s">
        <v>50</v>
      </c>
      <c r="F125" s="1" t="s">
        <v>18</v>
      </c>
      <c r="G125" s="1">
        <v>4181.0</v>
      </c>
      <c r="H125" s="1" t="s">
        <v>20</v>
      </c>
      <c r="I125" s="1" t="s">
        <v>36</v>
      </c>
      <c r="J125" s="1" t="s">
        <v>22</v>
      </c>
      <c r="K125" s="5" t="s">
        <v>24</v>
      </c>
    </row>
    <row r="126">
      <c r="A126" s="1" t="s">
        <v>43</v>
      </c>
      <c r="B126" s="2">
        <v>45869.0</v>
      </c>
      <c r="C126" s="1" t="s">
        <v>52</v>
      </c>
      <c r="D126" s="1" t="s">
        <v>50</v>
      </c>
      <c r="E126" s="1" t="s">
        <v>50</v>
      </c>
      <c r="F126" s="1" t="s">
        <v>18</v>
      </c>
      <c r="G126" s="1">
        <v>4002.0</v>
      </c>
      <c r="H126" s="1" t="s">
        <v>20</v>
      </c>
      <c r="I126" s="1" t="s">
        <v>21</v>
      </c>
      <c r="J126" s="1" t="s">
        <v>22</v>
      </c>
      <c r="K126" s="5" t="s">
        <v>24</v>
      </c>
    </row>
    <row r="127">
      <c r="A127" s="1" t="s">
        <v>43</v>
      </c>
      <c r="B127" s="2">
        <v>45869.0</v>
      </c>
      <c r="C127" s="1" t="s">
        <v>52</v>
      </c>
      <c r="D127" s="1" t="s">
        <v>50</v>
      </c>
      <c r="E127" s="1" t="s">
        <v>50</v>
      </c>
      <c r="F127" s="1" t="s">
        <v>18</v>
      </c>
      <c r="G127" s="1">
        <v>3986.0</v>
      </c>
      <c r="H127" s="1" t="s">
        <v>20</v>
      </c>
      <c r="I127" s="1" t="s">
        <v>36</v>
      </c>
      <c r="J127" s="1" t="s">
        <v>22</v>
      </c>
      <c r="K127" s="5" t="s">
        <v>24</v>
      </c>
    </row>
    <row r="128">
      <c r="A128" s="1" t="s">
        <v>57</v>
      </c>
      <c r="B128" s="2">
        <v>45961.0</v>
      </c>
      <c r="C128" s="1" t="s">
        <v>52</v>
      </c>
      <c r="D128" s="1" t="s">
        <v>50</v>
      </c>
      <c r="E128" s="1" t="s">
        <v>50</v>
      </c>
      <c r="F128" s="1" t="s">
        <v>18</v>
      </c>
      <c r="G128" s="1">
        <v>4285.0</v>
      </c>
      <c r="H128" s="1" t="s">
        <v>20</v>
      </c>
      <c r="I128" s="1" t="s">
        <v>21</v>
      </c>
      <c r="J128" s="1" t="s">
        <v>22</v>
      </c>
      <c r="K128" s="5" t="s">
        <v>24</v>
      </c>
    </row>
    <row r="129">
      <c r="A129" s="1" t="s">
        <v>57</v>
      </c>
      <c r="B129" s="2">
        <v>45961.0</v>
      </c>
      <c r="C129" s="1" t="s">
        <v>52</v>
      </c>
      <c r="D129" s="1" t="s">
        <v>50</v>
      </c>
      <c r="E129" s="1" t="s">
        <v>50</v>
      </c>
      <c r="F129" s="1" t="s">
        <v>18</v>
      </c>
      <c r="G129" s="1">
        <v>4266.0</v>
      </c>
      <c r="H129" s="1" t="s">
        <v>20</v>
      </c>
      <c r="I129" s="1" t="s">
        <v>36</v>
      </c>
      <c r="J129" s="1" t="s">
        <v>22</v>
      </c>
      <c r="K129" s="5" t="s">
        <v>24</v>
      </c>
    </row>
    <row r="130">
      <c r="A130" s="1" t="s">
        <v>51</v>
      </c>
      <c r="B130" s="2">
        <v>45688.0</v>
      </c>
      <c r="C130" s="1" t="s">
        <v>52</v>
      </c>
      <c r="D130" s="1" t="s">
        <v>60</v>
      </c>
      <c r="E130" s="1" t="s">
        <v>61</v>
      </c>
      <c r="F130" s="1" t="s">
        <v>18</v>
      </c>
      <c r="G130" s="1">
        <v>0.0</v>
      </c>
      <c r="H130" s="1" t="s">
        <v>20</v>
      </c>
      <c r="I130" s="1" t="s">
        <v>21</v>
      </c>
      <c r="J130" s="1" t="s">
        <v>22</v>
      </c>
      <c r="K130" s="5" t="s">
        <v>24</v>
      </c>
    </row>
    <row r="131">
      <c r="A131" s="1" t="s">
        <v>51</v>
      </c>
      <c r="B131" s="2">
        <v>45688.0</v>
      </c>
      <c r="C131" s="1" t="s">
        <v>52</v>
      </c>
      <c r="D131" s="1" t="s">
        <v>60</v>
      </c>
      <c r="E131" s="1" t="s">
        <v>61</v>
      </c>
      <c r="F131" s="1" t="s">
        <v>18</v>
      </c>
      <c r="G131" s="1">
        <v>11.0</v>
      </c>
      <c r="H131" s="1" t="s">
        <v>20</v>
      </c>
      <c r="I131" s="1" t="s">
        <v>36</v>
      </c>
      <c r="J131" s="1" t="s">
        <v>22</v>
      </c>
      <c r="K131" s="5" t="s">
        <v>24</v>
      </c>
    </row>
    <row r="132">
      <c r="A132" s="1" t="s">
        <v>54</v>
      </c>
      <c r="B132" s="2">
        <v>45777.0</v>
      </c>
      <c r="C132" s="1" t="s">
        <v>52</v>
      </c>
      <c r="D132" s="1" t="s">
        <v>60</v>
      </c>
      <c r="E132" s="1" t="s">
        <v>61</v>
      </c>
      <c r="F132" s="1" t="s">
        <v>18</v>
      </c>
      <c r="G132" s="1">
        <v>0.0</v>
      </c>
      <c r="H132" s="1" t="s">
        <v>20</v>
      </c>
      <c r="I132" s="1" t="s">
        <v>21</v>
      </c>
      <c r="J132" s="1" t="s">
        <v>22</v>
      </c>
      <c r="K132" s="5" t="s">
        <v>24</v>
      </c>
    </row>
    <row r="133">
      <c r="A133" s="1" t="s">
        <v>54</v>
      </c>
      <c r="B133" s="2">
        <v>45777.0</v>
      </c>
      <c r="C133" s="1" t="s">
        <v>52</v>
      </c>
      <c r="D133" s="1" t="s">
        <v>60</v>
      </c>
      <c r="E133" s="1" t="s">
        <v>61</v>
      </c>
      <c r="F133" s="1" t="s">
        <v>18</v>
      </c>
      <c r="G133" s="1">
        <v>16.0</v>
      </c>
      <c r="H133" s="1" t="s">
        <v>20</v>
      </c>
      <c r="I133" s="1" t="s">
        <v>36</v>
      </c>
      <c r="J133" s="1" t="s">
        <v>22</v>
      </c>
      <c r="K133" s="5" t="s">
        <v>24</v>
      </c>
    </row>
    <row r="134">
      <c r="A134" s="1" t="s">
        <v>43</v>
      </c>
      <c r="B134" s="2">
        <v>45869.0</v>
      </c>
      <c r="C134" s="1" t="s">
        <v>52</v>
      </c>
      <c r="D134" s="1" t="s">
        <v>60</v>
      </c>
      <c r="E134" s="1" t="s">
        <v>61</v>
      </c>
      <c r="F134" s="1" t="s">
        <v>18</v>
      </c>
      <c r="G134" s="1">
        <v>0.0</v>
      </c>
      <c r="H134" s="1" t="s">
        <v>20</v>
      </c>
      <c r="I134" s="1" t="s">
        <v>21</v>
      </c>
      <c r="J134" s="1" t="s">
        <v>22</v>
      </c>
      <c r="K134" s="5" t="s">
        <v>24</v>
      </c>
    </row>
    <row r="135">
      <c r="A135" s="1" t="s">
        <v>43</v>
      </c>
      <c r="B135" s="2">
        <v>45869.0</v>
      </c>
      <c r="C135" s="1" t="s">
        <v>52</v>
      </c>
      <c r="D135" s="1" t="s">
        <v>60</v>
      </c>
      <c r="E135" s="1" t="s">
        <v>61</v>
      </c>
      <c r="F135" s="1" t="s">
        <v>18</v>
      </c>
      <c r="G135" s="1">
        <v>16.0</v>
      </c>
      <c r="H135" s="1" t="s">
        <v>20</v>
      </c>
      <c r="I135" s="1" t="s">
        <v>36</v>
      </c>
      <c r="J135" s="1" t="s">
        <v>22</v>
      </c>
      <c r="K135" s="5" t="s">
        <v>24</v>
      </c>
    </row>
    <row r="136">
      <c r="A136" s="1" t="s">
        <v>57</v>
      </c>
      <c r="B136" s="2">
        <v>45961.0</v>
      </c>
      <c r="C136" s="1" t="s">
        <v>52</v>
      </c>
      <c r="D136" s="1" t="s">
        <v>60</v>
      </c>
      <c r="E136" s="1" t="s">
        <v>61</v>
      </c>
      <c r="F136" s="1" t="s">
        <v>18</v>
      </c>
      <c r="G136" s="1">
        <v>0.0</v>
      </c>
      <c r="H136" s="1" t="s">
        <v>20</v>
      </c>
      <c r="I136" s="1" t="s">
        <v>21</v>
      </c>
      <c r="J136" s="1" t="s">
        <v>22</v>
      </c>
      <c r="K136" s="5" t="s">
        <v>24</v>
      </c>
    </row>
    <row r="137">
      <c r="A137" s="1" t="s">
        <v>57</v>
      </c>
      <c r="B137" s="2">
        <v>45961.0</v>
      </c>
      <c r="C137" s="1" t="s">
        <v>52</v>
      </c>
      <c r="D137" s="1" t="s">
        <v>60</v>
      </c>
      <c r="E137" s="1" t="s">
        <v>61</v>
      </c>
      <c r="F137" s="1" t="s">
        <v>18</v>
      </c>
      <c r="G137" s="1">
        <v>19.0</v>
      </c>
      <c r="H137" s="1" t="s">
        <v>20</v>
      </c>
      <c r="I137" s="1" t="s">
        <v>36</v>
      </c>
      <c r="J137" s="1" t="s">
        <v>22</v>
      </c>
      <c r="K137" s="5" t="s">
        <v>24</v>
      </c>
    </row>
    <row r="138">
      <c r="A138" s="1" t="s">
        <v>51</v>
      </c>
      <c r="B138" s="2">
        <v>45688.0</v>
      </c>
      <c r="C138" s="1" t="s">
        <v>52</v>
      </c>
      <c r="D138" s="1" t="s">
        <v>64</v>
      </c>
      <c r="E138" s="1" t="s">
        <v>61</v>
      </c>
      <c r="F138" s="1" t="s">
        <v>18</v>
      </c>
      <c r="G138" s="1">
        <v>13504.0</v>
      </c>
      <c r="H138" s="1" t="s">
        <v>20</v>
      </c>
      <c r="I138" s="1" t="s">
        <v>21</v>
      </c>
      <c r="J138" s="1" t="s">
        <v>22</v>
      </c>
      <c r="K138" s="5" t="s">
        <v>24</v>
      </c>
    </row>
    <row r="139">
      <c r="A139" s="1" t="s">
        <v>51</v>
      </c>
      <c r="B139" s="2">
        <v>45688.0</v>
      </c>
      <c r="C139" s="1" t="s">
        <v>52</v>
      </c>
      <c r="D139" s="1" t="s">
        <v>64</v>
      </c>
      <c r="E139" s="1" t="s">
        <v>61</v>
      </c>
      <c r="F139" s="1" t="s">
        <v>18</v>
      </c>
      <c r="G139" s="1">
        <v>13504.0</v>
      </c>
      <c r="H139" s="1" t="s">
        <v>20</v>
      </c>
      <c r="I139" s="1" t="s">
        <v>36</v>
      </c>
      <c r="J139" s="1" t="s">
        <v>22</v>
      </c>
      <c r="K139" s="5" t="s">
        <v>24</v>
      </c>
    </row>
    <row r="140">
      <c r="A140" s="1" t="s">
        <v>54</v>
      </c>
      <c r="B140" s="2">
        <v>45777.0</v>
      </c>
      <c r="C140" s="1" t="s">
        <v>52</v>
      </c>
      <c r="D140" s="1" t="s">
        <v>64</v>
      </c>
      <c r="E140" s="1" t="s">
        <v>61</v>
      </c>
      <c r="F140" s="1" t="s">
        <v>18</v>
      </c>
      <c r="G140" s="1">
        <v>13221.0</v>
      </c>
      <c r="H140" s="1" t="s">
        <v>20</v>
      </c>
      <c r="I140" s="1" t="s">
        <v>21</v>
      </c>
      <c r="J140" s="1" t="s">
        <v>22</v>
      </c>
      <c r="K140" s="5" t="s">
        <v>24</v>
      </c>
    </row>
    <row r="141">
      <c r="A141" s="1" t="s">
        <v>54</v>
      </c>
      <c r="B141" s="2">
        <v>45777.0</v>
      </c>
      <c r="C141" s="1" t="s">
        <v>52</v>
      </c>
      <c r="D141" s="1" t="s">
        <v>64</v>
      </c>
      <c r="E141" s="1" t="s">
        <v>61</v>
      </c>
      <c r="F141" s="1" t="s">
        <v>18</v>
      </c>
      <c r="G141" s="1">
        <v>13221.0</v>
      </c>
      <c r="H141" s="1" t="s">
        <v>20</v>
      </c>
      <c r="I141" s="1" t="s">
        <v>36</v>
      </c>
      <c r="J141" s="1" t="s">
        <v>22</v>
      </c>
      <c r="K141" s="5" t="s">
        <v>24</v>
      </c>
    </row>
    <row r="142">
      <c r="A142" s="1" t="s">
        <v>43</v>
      </c>
      <c r="B142" s="2">
        <v>45869.0</v>
      </c>
      <c r="C142" s="1" t="s">
        <v>52</v>
      </c>
      <c r="D142" s="1" t="s">
        <v>64</v>
      </c>
      <c r="E142" s="1" t="s">
        <v>61</v>
      </c>
      <c r="F142" s="1" t="s">
        <v>18</v>
      </c>
      <c r="G142" s="1">
        <v>13933.0</v>
      </c>
      <c r="H142" s="1" t="s">
        <v>20</v>
      </c>
      <c r="I142" s="1" t="s">
        <v>21</v>
      </c>
      <c r="J142" s="1" t="s">
        <v>22</v>
      </c>
      <c r="K142" s="5" t="s">
        <v>24</v>
      </c>
    </row>
    <row r="143">
      <c r="A143" s="1" t="s">
        <v>43</v>
      </c>
      <c r="B143" s="2">
        <v>45869.0</v>
      </c>
      <c r="C143" s="1" t="s">
        <v>52</v>
      </c>
      <c r="D143" s="1" t="s">
        <v>64</v>
      </c>
      <c r="E143" s="1" t="s">
        <v>61</v>
      </c>
      <c r="F143" s="1" t="s">
        <v>18</v>
      </c>
      <c r="G143" s="1">
        <v>13933.0</v>
      </c>
      <c r="H143" s="1" t="s">
        <v>20</v>
      </c>
      <c r="I143" s="1" t="s">
        <v>36</v>
      </c>
      <c r="J143" s="1" t="s">
        <v>22</v>
      </c>
      <c r="K143" s="5" t="s">
        <v>24</v>
      </c>
    </row>
    <row r="144">
      <c r="A144" s="1" t="s">
        <v>57</v>
      </c>
      <c r="B144" s="2">
        <v>45961.0</v>
      </c>
      <c r="C144" s="1" t="s">
        <v>52</v>
      </c>
      <c r="D144" s="1" t="s">
        <v>64</v>
      </c>
      <c r="E144" s="1" t="s">
        <v>61</v>
      </c>
      <c r="F144" s="1" t="s">
        <v>18</v>
      </c>
      <c r="G144" s="1">
        <v>14638.0</v>
      </c>
      <c r="H144" s="1" t="s">
        <v>20</v>
      </c>
      <c r="I144" s="1" t="s">
        <v>21</v>
      </c>
      <c r="J144" s="1" t="s">
        <v>22</v>
      </c>
      <c r="K144" s="5" t="s">
        <v>24</v>
      </c>
    </row>
    <row r="145">
      <c r="A145" s="1" t="s">
        <v>57</v>
      </c>
      <c r="B145" s="2">
        <v>45961.0</v>
      </c>
      <c r="C145" s="1" t="s">
        <v>52</v>
      </c>
      <c r="D145" s="1" t="s">
        <v>64</v>
      </c>
      <c r="E145" s="1" t="s">
        <v>61</v>
      </c>
      <c r="F145" s="1" t="s">
        <v>18</v>
      </c>
      <c r="G145" s="1">
        <v>14638.0</v>
      </c>
      <c r="H145" s="1" t="s">
        <v>20</v>
      </c>
      <c r="I145" s="1" t="s">
        <v>36</v>
      </c>
      <c r="J145" s="1" t="s">
        <v>22</v>
      </c>
      <c r="K145" s="5" t="s">
        <v>24</v>
      </c>
    </row>
    <row r="146">
      <c r="A146" s="1" t="s">
        <v>59</v>
      </c>
      <c r="B146" s="2">
        <v>46053.0</v>
      </c>
      <c r="C146" s="1" t="s">
        <v>62</v>
      </c>
      <c r="D146" s="1" t="s">
        <v>15</v>
      </c>
      <c r="E146" s="1" t="s">
        <v>17</v>
      </c>
      <c r="F146" s="1" t="s">
        <v>18</v>
      </c>
      <c r="G146" s="1">
        <v>7253.0</v>
      </c>
      <c r="H146" s="1" t="s">
        <v>20</v>
      </c>
      <c r="I146" s="1" t="s">
        <v>21</v>
      </c>
      <c r="J146" s="1" t="s">
        <v>22</v>
      </c>
      <c r="K146" s="5" t="s">
        <v>24</v>
      </c>
    </row>
    <row r="147">
      <c r="A147" s="1" t="s">
        <v>59</v>
      </c>
      <c r="B147" s="2">
        <v>46053.0</v>
      </c>
      <c r="C147" s="1" t="s">
        <v>62</v>
      </c>
      <c r="D147" s="1" t="s">
        <v>42</v>
      </c>
      <c r="E147" s="1" t="s">
        <v>17</v>
      </c>
      <c r="F147" s="1" t="s">
        <v>18</v>
      </c>
      <c r="G147" s="1">
        <v>2998.0</v>
      </c>
      <c r="H147" s="1" t="s">
        <v>20</v>
      </c>
      <c r="I147" s="1" t="s">
        <v>21</v>
      </c>
      <c r="J147" s="1" t="s">
        <v>22</v>
      </c>
      <c r="K147" s="5" t="s">
        <v>24</v>
      </c>
    </row>
    <row r="148">
      <c r="A148" s="1" t="s">
        <v>59</v>
      </c>
      <c r="B148" s="2">
        <v>46053.0</v>
      </c>
      <c r="C148" s="1" t="s">
        <v>62</v>
      </c>
      <c r="D148" s="1" t="s">
        <v>17</v>
      </c>
      <c r="E148" s="1" t="s">
        <v>17</v>
      </c>
      <c r="F148" s="1" t="s">
        <v>18</v>
      </c>
      <c r="G148" s="1">
        <v>10251.0</v>
      </c>
      <c r="H148" s="1" t="s">
        <v>20</v>
      </c>
      <c r="I148" s="1" t="s">
        <v>21</v>
      </c>
      <c r="J148" s="1" t="s">
        <v>22</v>
      </c>
      <c r="K148" s="5" t="s">
        <v>24</v>
      </c>
    </row>
    <row r="149">
      <c r="A149" s="1" t="s">
        <v>59</v>
      </c>
      <c r="B149" s="2">
        <v>46053.0</v>
      </c>
      <c r="C149" s="1" t="s">
        <v>62</v>
      </c>
      <c r="D149" s="1" t="s">
        <v>48</v>
      </c>
      <c r="E149" s="1" t="s">
        <v>50</v>
      </c>
      <c r="F149" s="1" t="s">
        <v>18</v>
      </c>
      <c r="G149" s="1">
        <v>2799.0</v>
      </c>
      <c r="H149" s="1" t="s">
        <v>20</v>
      </c>
      <c r="I149" s="1" t="s">
        <v>21</v>
      </c>
      <c r="J149" s="1" t="s">
        <v>22</v>
      </c>
      <c r="K149" s="5" t="s">
        <v>24</v>
      </c>
    </row>
    <row r="150">
      <c r="A150" s="1" t="s">
        <v>59</v>
      </c>
      <c r="B150" s="2">
        <v>46053.0</v>
      </c>
      <c r="C150" s="1" t="s">
        <v>62</v>
      </c>
      <c r="D150" s="1" t="s">
        <v>53</v>
      </c>
      <c r="E150" s="1" t="s">
        <v>50</v>
      </c>
      <c r="F150" s="1" t="s">
        <v>18</v>
      </c>
      <c r="G150" s="1">
        <v>1105.0</v>
      </c>
      <c r="H150" s="1" t="s">
        <v>20</v>
      </c>
      <c r="I150" s="1" t="s">
        <v>21</v>
      </c>
      <c r="J150" s="1" t="s">
        <v>22</v>
      </c>
      <c r="K150" s="5" t="s">
        <v>24</v>
      </c>
    </row>
    <row r="151">
      <c r="A151" s="1" t="s">
        <v>59</v>
      </c>
      <c r="B151" s="2">
        <v>46053.0</v>
      </c>
      <c r="C151" s="1" t="s">
        <v>62</v>
      </c>
      <c r="D151" s="1" t="s">
        <v>55</v>
      </c>
      <c r="E151" s="1" t="s">
        <v>50</v>
      </c>
      <c r="F151" s="1" t="s">
        <v>18</v>
      </c>
      <c r="G151" s="1">
        <v>283.0</v>
      </c>
      <c r="H151" s="1" t="s">
        <v>20</v>
      </c>
      <c r="I151" s="1" t="s">
        <v>21</v>
      </c>
      <c r="J151" s="1" t="s">
        <v>22</v>
      </c>
      <c r="K151" s="5" t="s">
        <v>24</v>
      </c>
    </row>
    <row r="152">
      <c r="A152" s="1" t="s">
        <v>59</v>
      </c>
      <c r="B152" s="2">
        <v>46053.0</v>
      </c>
      <c r="C152" s="1" t="s">
        <v>62</v>
      </c>
      <c r="D152" s="1" t="s">
        <v>50</v>
      </c>
      <c r="E152" s="1" t="s">
        <v>50</v>
      </c>
      <c r="F152" s="1" t="s">
        <v>18</v>
      </c>
      <c r="G152" s="1">
        <v>4187.0</v>
      </c>
      <c r="H152" s="1" t="s">
        <v>20</v>
      </c>
      <c r="I152" s="1" t="s">
        <v>21</v>
      </c>
      <c r="J152" s="1" t="s">
        <v>22</v>
      </c>
      <c r="K152" s="5" t="s">
        <v>24</v>
      </c>
    </row>
    <row r="153">
      <c r="A153" s="1" t="s">
        <v>59</v>
      </c>
      <c r="B153" s="2">
        <v>46053.0</v>
      </c>
      <c r="C153" s="1" t="s">
        <v>62</v>
      </c>
      <c r="D153" s="1" t="s">
        <v>60</v>
      </c>
      <c r="E153" s="1" t="s">
        <v>61</v>
      </c>
      <c r="F153" s="1" t="s">
        <v>18</v>
      </c>
      <c r="G153" s="1">
        <v>0.0</v>
      </c>
      <c r="H153" s="1" t="s">
        <v>20</v>
      </c>
      <c r="I153" s="1" t="s">
        <v>21</v>
      </c>
      <c r="J153" s="1" t="s">
        <v>22</v>
      </c>
      <c r="K153" s="5" t="s">
        <v>24</v>
      </c>
    </row>
    <row r="154">
      <c r="A154" s="1" t="s">
        <v>59</v>
      </c>
      <c r="B154" s="2">
        <v>46053.0</v>
      </c>
      <c r="C154" s="1" t="s">
        <v>62</v>
      </c>
      <c r="D154" s="1" t="s">
        <v>64</v>
      </c>
      <c r="E154" s="1" t="s">
        <v>61</v>
      </c>
      <c r="F154" s="1" t="s">
        <v>18</v>
      </c>
      <c r="G154" s="1">
        <v>14438.0</v>
      </c>
      <c r="H154" s="1" t="s">
        <v>20</v>
      </c>
      <c r="I154" s="1" t="s">
        <v>21</v>
      </c>
      <c r="J154" s="1" t="s">
        <v>22</v>
      </c>
      <c r="K154" s="5" t="s">
        <v>24</v>
      </c>
    </row>
    <row r="155">
      <c r="A155" s="1" t="s">
        <v>65</v>
      </c>
      <c r="B155" s="2">
        <v>46142.0</v>
      </c>
      <c r="C155" s="1" t="s">
        <v>62</v>
      </c>
      <c r="D155" s="1" t="s">
        <v>15</v>
      </c>
      <c r="E155" s="1" t="s">
        <v>17</v>
      </c>
      <c r="F155" s="1" t="s">
        <v>18</v>
      </c>
      <c r="G155" s="1">
        <v>7743.0</v>
      </c>
      <c r="H155" s="1" t="s">
        <v>20</v>
      </c>
      <c r="I155" s="1" t="s">
        <v>21</v>
      </c>
      <c r="J155" s="1" t="s">
        <v>22</v>
      </c>
      <c r="K155" s="5" t="s">
        <v>68</v>
      </c>
    </row>
    <row r="156">
      <c r="A156" s="1" t="s">
        <v>65</v>
      </c>
      <c r="B156" s="2">
        <v>46142.0</v>
      </c>
      <c r="C156" s="1" t="s">
        <v>62</v>
      </c>
      <c r="D156" s="1" t="s">
        <v>42</v>
      </c>
      <c r="E156" s="1" t="s">
        <v>17</v>
      </c>
      <c r="F156" s="1" t="s">
        <v>18</v>
      </c>
      <c r="G156" s="1">
        <v>2470.0</v>
      </c>
      <c r="H156" s="1" t="s">
        <v>20</v>
      </c>
      <c r="I156" s="1" t="s">
        <v>21</v>
      </c>
      <c r="J156" s="1" t="s">
        <v>22</v>
      </c>
      <c r="K156" s="5" t="s">
        <v>68</v>
      </c>
    </row>
    <row r="157">
      <c r="A157" s="1" t="s">
        <v>65</v>
      </c>
      <c r="B157" s="2">
        <v>46142.0</v>
      </c>
      <c r="C157" s="1" t="s">
        <v>62</v>
      </c>
      <c r="D157" s="1" t="s">
        <v>17</v>
      </c>
      <c r="E157" s="1" t="s">
        <v>17</v>
      </c>
      <c r="F157" s="1" t="s">
        <v>18</v>
      </c>
      <c r="G157" s="1">
        <v>10213.0</v>
      </c>
      <c r="H157" s="1" t="s">
        <v>20</v>
      </c>
      <c r="I157" s="1" t="s">
        <v>21</v>
      </c>
      <c r="J157" s="1" t="s">
        <v>22</v>
      </c>
      <c r="K157" s="5" t="s">
        <v>68</v>
      </c>
    </row>
    <row r="158">
      <c r="A158" s="1" t="s">
        <v>65</v>
      </c>
      <c r="B158" s="2">
        <v>46142.0</v>
      </c>
      <c r="C158" s="1" t="s">
        <v>62</v>
      </c>
      <c r="D158" s="1" t="s">
        <v>48</v>
      </c>
      <c r="E158" s="1" t="s">
        <v>50</v>
      </c>
      <c r="F158" s="1" t="s">
        <v>18</v>
      </c>
      <c r="G158" s="1">
        <v>2754.0</v>
      </c>
      <c r="H158" s="1" t="s">
        <v>20</v>
      </c>
      <c r="I158" s="1" t="s">
        <v>21</v>
      </c>
      <c r="J158" s="1" t="s">
        <v>22</v>
      </c>
      <c r="K158" s="5" t="s">
        <v>68</v>
      </c>
    </row>
    <row r="159">
      <c r="A159" s="1" t="s">
        <v>65</v>
      </c>
      <c r="B159" s="2">
        <v>46142.0</v>
      </c>
      <c r="C159" s="1" t="s">
        <v>62</v>
      </c>
      <c r="D159" s="1" t="s">
        <v>53</v>
      </c>
      <c r="E159" s="1" t="s">
        <v>50</v>
      </c>
      <c r="F159" s="1" t="s">
        <v>18</v>
      </c>
      <c r="G159" s="1">
        <v>1168.0</v>
      </c>
      <c r="H159" s="1" t="s">
        <v>20</v>
      </c>
      <c r="I159" s="1" t="s">
        <v>21</v>
      </c>
      <c r="J159" s="1" t="s">
        <v>22</v>
      </c>
      <c r="K159" s="5" t="s">
        <v>68</v>
      </c>
    </row>
    <row r="160">
      <c r="A160" s="1" t="s">
        <v>65</v>
      </c>
      <c r="B160" s="2">
        <v>46142.0</v>
      </c>
      <c r="C160" s="1" t="s">
        <v>62</v>
      </c>
      <c r="D160" s="1" t="s">
        <v>55</v>
      </c>
      <c r="E160" s="1" t="s">
        <v>50</v>
      </c>
      <c r="F160" s="1" t="s">
        <v>18</v>
      </c>
      <c r="G160" s="1">
        <v>273.0</v>
      </c>
      <c r="H160" s="1" t="s">
        <v>20</v>
      </c>
      <c r="I160" s="1" t="s">
        <v>21</v>
      </c>
      <c r="J160" s="1" t="s">
        <v>22</v>
      </c>
      <c r="K160" s="5" t="s">
        <v>68</v>
      </c>
    </row>
    <row r="161">
      <c r="A161" s="1" t="s">
        <v>65</v>
      </c>
      <c r="B161" s="2">
        <v>46142.0</v>
      </c>
      <c r="C161" s="1" t="s">
        <v>62</v>
      </c>
      <c r="D161" s="1" t="s">
        <v>50</v>
      </c>
      <c r="E161" s="1" t="s">
        <v>50</v>
      </c>
      <c r="F161" s="1" t="s">
        <v>18</v>
      </c>
      <c r="G161" s="1">
        <v>4195.0</v>
      </c>
      <c r="H161" s="1" t="s">
        <v>20</v>
      </c>
      <c r="I161" s="1" t="s">
        <v>21</v>
      </c>
      <c r="J161" s="1" t="s">
        <v>22</v>
      </c>
      <c r="K161" s="5" t="s">
        <v>68</v>
      </c>
    </row>
    <row r="162">
      <c r="A162" s="1" t="s">
        <v>65</v>
      </c>
      <c r="B162" s="2">
        <v>46142.0</v>
      </c>
      <c r="C162" s="1" t="s">
        <v>62</v>
      </c>
      <c r="D162" s="1" t="s">
        <v>60</v>
      </c>
      <c r="E162" s="1" t="s">
        <v>61</v>
      </c>
      <c r="F162" s="1" t="s">
        <v>18</v>
      </c>
      <c r="G162" s="1">
        <v>0.0</v>
      </c>
      <c r="H162" s="1" t="s">
        <v>20</v>
      </c>
      <c r="I162" s="1" t="s">
        <v>21</v>
      </c>
      <c r="J162" s="1" t="s">
        <v>22</v>
      </c>
      <c r="K162" s="5" t="s">
        <v>68</v>
      </c>
    </row>
    <row r="163">
      <c r="A163" s="1" t="s">
        <v>65</v>
      </c>
      <c r="B163" s="2">
        <v>46142.0</v>
      </c>
      <c r="C163" s="1" t="s">
        <v>62</v>
      </c>
      <c r="D163" s="1" t="s">
        <v>64</v>
      </c>
      <c r="E163" s="1" t="s">
        <v>61</v>
      </c>
      <c r="F163" s="1" t="s">
        <v>18</v>
      </c>
      <c r="G163" s="1">
        <v>14408.0</v>
      </c>
      <c r="H163" s="1" t="s">
        <v>20</v>
      </c>
      <c r="I163" s="1" t="s">
        <v>21</v>
      </c>
      <c r="J163" s="1" t="s">
        <v>22</v>
      </c>
      <c r="K163" s="5" t="s">
        <v>68</v>
      </c>
    </row>
    <row r="164">
      <c r="A164" s="1" t="s">
        <v>34</v>
      </c>
      <c r="B164" s="2">
        <v>46234.0</v>
      </c>
      <c r="C164" s="1" t="s">
        <v>62</v>
      </c>
      <c r="D164" s="1" t="s">
        <v>15</v>
      </c>
      <c r="E164" s="1" t="s">
        <v>17</v>
      </c>
      <c r="F164" s="1" t="s">
        <v>18</v>
      </c>
      <c r="G164" s="1">
        <v>8579.0</v>
      </c>
      <c r="H164" s="1" t="s">
        <v>20</v>
      </c>
      <c r="I164" s="1" t="s">
        <v>21</v>
      </c>
      <c r="J164" s="1" t="s">
        <v>22</v>
      </c>
      <c r="K164" s="5" t="s">
        <v>68</v>
      </c>
    </row>
    <row r="165">
      <c r="A165" s="1" t="s">
        <v>34</v>
      </c>
      <c r="B165" s="2">
        <v>46234.0</v>
      </c>
      <c r="C165" s="1" t="s">
        <v>62</v>
      </c>
      <c r="D165" s="1" t="s">
        <v>42</v>
      </c>
      <c r="E165" s="1" t="s">
        <v>17</v>
      </c>
      <c r="F165" s="1" t="s">
        <v>18</v>
      </c>
      <c r="G165" s="1">
        <v>3188.0</v>
      </c>
      <c r="H165" s="1" t="s">
        <v>20</v>
      </c>
      <c r="I165" s="1" t="s">
        <v>21</v>
      </c>
      <c r="J165" s="1" t="s">
        <v>22</v>
      </c>
      <c r="K165" s="5" t="s">
        <v>68</v>
      </c>
    </row>
    <row r="166">
      <c r="A166" s="1" t="s">
        <v>34</v>
      </c>
      <c r="B166" s="2">
        <v>46234.0</v>
      </c>
      <c r="C166" s="1" t="s">
        <v>62</v>
      </c>
      <c r="D166" s="1" t="s">
        <v>17</v>
      </c>
      <c r="E166" s="1" t="s">
        <v>17</v>
      </c>
      <c r="F166" s="1" t="s">
        <v>18</v>
      </c>
      <c r="G166" s="1">
        <v>11767.0</v>
      </c>
      <c r="H166" s="1" t="s">
        <v>20</v>
      </c>
      <c r="I166" s="1" t="s">
        <v>21</v>
      </c>
      <c r="J166" s="1" t="s">
        <v>22</v>
      </c>
      <c r="K166" s="5" t="s">
        <v>68</v>
      </c>
    </row>
    <row r="167">
      <c r="A167" s="1" t="s">
        <v>34</v>
      </c>
      <c r="B167" s="2">
        <v>46234.0</v>
      </c>
      <c r="C167" s="1" t="s">
        <v>62</v>
      </c>
      <c r="D167" s="1" t="s">
        <v>48</v>
      </c>
      <c r="E167" s="1" t="s">
        <v>50</v>
      </c>
      <c r="F167" s="1" t="s">
        <v>18</v>
      </c>
      <c r="G167" s="1">
        <v>2536.0</v>
      </c>
      <c r="H167" s="1" t="s">
        <v>20</v>
      </c>
      <c r="I167" s="1" t="s">
        <v>21</v>
      </c>
      <c r="J167" s="1" t="s">
        <v>22</v>
      </c>
      <c r="K167" s="5" t="s">
        <v>68</v>
      </c>
    </row>
    <row r="168">
      <c r="A168" s="1" t="s">
        <v>34</v>
      </c>
      <c r="B168" s="2">
        <v>46234.0</v>
      </c>
      <c r="C168" s="1" t="s">
        <v>62</v>
      </c>
      <c r="D168" s="1" t="s">
        <v>53</v>
      </c>
      <c r="E168" s="1" t="s">
        <v>50</v>
      </c>
      <c r="F168" s="1" t="s">
        <v>18</v>
      </c>
      <c r="G168" s="1">
        <v>1101.0</v>
      </c>
      <c r="H168" s="1" t="s">
        <v>20</v>
      </c>
      <c r="I168" s="1" t="s">
        <v>21</v>
      </c>
      <c r="J168" s="1" t="s">
        <v>22</v>
      </c>
      <c r="K168" s="5" t="s">
        <v>68</v>
      </c>
    </row>
    <row r="169">
      <c r="A169" s="1" t="s">
        <v>34</v>
      </c>
      <c r="B169" s="2">
        <v>46234.0</v>
      </c>
      <c r="C169" s="1" t="s">
        <v>62</v>
      </c>
      <c r="D169" s="1" t="s">
        <v>55</v>
      </c>
      <c r="E169" s="1" t="s">
        <v>50</v>
      </c>
      <c r="F169" s="1" t="s">
        <v>18</v>
      </c>
      <c r="G169" s="1">
        <v>275.0</v>
      </c>
      <c r="H169" s="1" t="s">
        <v>20</v>
      </c>
      <c r="I169" s="1" t="s">
        <v>21</v>
      </c>
      <c r="J169" s="1" t="s">
        <v>22</v>
      </c>
      <c r="K169" s="5" t="s">
        <v>68</v>
      </c>
    </row>
    <row r="170">
      <c r="A170" s="1" t="s">
        <v>34</v>
      </c>
      <c r="B170" s="2">
        <v>46234.0</v>
      </c>
      <c r="C170" s="1" t="s">
        <v>62</v>
      </c>
      <c r="D170" s="1" t="s">
        <v>50</v>
      </c>
      <c r="E170" s="1" t="s">
        <v>50</v>
      </c>
      <c r="F170" s="1" t="s">
        <v>18</v>
      </c>
      <c r="G170" s="1">
        <v>3912.0</v>
      </c>
      <c r="H170" s="1" t="s">
        <v>20</v>
      </c>
      <c r="I170" s="1" t="s">
        <v>21</v>
      </c>
      <c r="J170" s="1" t="s">
        <v>22</v>
      </c>
      <c r="K170" s="5" t="s">
        <v>68</v>
      </c>
    </row>
    <row r="171">
      <c r="A171" s="1" t="s">
        <v>34</v>
      </c>
      <c r="B171" s="2">
        <v>46234.0</v>
      </c>
      <c r="C171" s="1" t="s">
        <v>62</v>
      </c>
      <c r="D171" s="1" t="s">
        <v>60</v>
      </c>
      <c r="E171" s="1" t="s">
        <v>61</v>
      </c>
      <c r="F171" s="1" t="s">
        <v>18</v>
      </c>
      <c r="G171" s="1">
        <v>0.0</v>
      </c>
      <c r="H171" s="1" t="s">
        <v>20</v>
      </c>
      <c r="I171" s="1" t="s">
        <v>21</v>
      </c>
      <c r="J171" s="1" t="s">
        <v>22</v>
      </c>
      <c r="K171" s="5" t="s">
        <v>68</v>
      </c>
    </row>
    <row r="172">
      <c r="A172" s="1" t="s">
        <v>34</v>
      </c>
      <c r="B172" s="2">
        <v>46234.0</v>
      </c>
      <c r="C172" s="1" t="s">
        <v>62</v>
      </c>
      <c r="D172" s="1" t="s">
        <v>64</v>
      </c>
      <c r="E172" s="1" t="s">
        <v>61</v>
      </c>
      <c r="F172" s="1" t="s">
        <v>18</v>
      </c>
      <c r="G172" s="1">
        <v>15679.0</v>
      </c>
      <c r="H172" s="1" t="s">
        <v>20</v>
      </c>
      <c r="I172" s="1" t="s">
        <v>21</v>
      </c>
      <c r="J172" s="1" t="s">
        <v>22</v>
      </c>
      <c r="K172" s="5" t="s">
        <v>68</v>
      </c>
    </row>
    <row r="173">
      <c r="A173" s="1" t="s">
        <v>51</v>
      </c>
      <c r="B173" s="2">
        <v>45688.0</v>
      </c>
      <c r="C173" s="1" t="s">
        <v>52</v>
      </c>
      <c r="D173" s="1" t="s">
        <v>17</v>
      </c>
      <c r="E173" s="1" t="s">
        <v>17</v>
      </c>
      <c r="F173" s="1" t="s">
        <v>69</v>
      </c>
      <c r="G173" s="1">
        <v>5.5</v>
      </c>
      <c r="H173" s="1" t="s">
        <v>70</v>
      </c>
      <c r="I173" s="1" t="s">
        <v>21</v>
      </c>
      <c r="J173" s="1" t="s">
        <v>22</v>
      </c>
      <c r="K173" s="5" t="s">
        <v>24</v>
      </c>
    </row>
    <row r="174">
      <c r="A174" s="1" t="s">
        <v>51</v>
      </c>
      <c r="B174" s="2">
        <v>45688.0</v>
      </c>
      <c r="C174" s="1" t="s">
        <v>52</v>
      </c>
      <c r="D174" s="1" t="s">
        <v>50</v>
      </c>
      <c r="E174" s="1" t="s">
        <v>50</v>
      </c>
      <c r="F174" s="1" t="s">
        <v>69</v>
      </c>
      <c r="G174" s="1">
        <v>18.7</v>
      </c>
      <c r="H174" s="1" t="s">
        <v>70</v>
      </c>
      <c r="I174" s="1" t="s">
        <v>21</v>
      </c>
      <c r="J174" s="1" t="s">
        <v>22</v>
      </c>
      <c r="K174" s="5" t="s">
        <v>24</v>
      </c>
    </row>
    <row r="175">
      <c r="A175" s="1" t="s">
        <v>51</v>
      </c>
      <c r="B175" s="2">
        <v>45688.0</v>
      </c>
      <c r="C175" s="1" t="s">
        <v>52</v>
      </c>
      <c r="D175" s="1" t="s">
        <v>64</v>
      </c>
      <c r="E175" s="1" t="s">
        <v>61</v>
      </c>
      <c r="F175" s="1" t="s">
        <v>69</v>
      </c>
      <c r="G175" s="1">
        <v>9.6</v>
      </c>
      <c r="H175" s="1" t="s">
        <v>70</v>
      </c>
      <c r="I175" s="1" t="s">
        <v>21</v>
      </c>
      <c r="J175" s="1" t="s">
        <v>22</v>
      </c>
      <c r="K175" s="5" t="s">
        <v>24</v>
      </c>
    </row>
    <row r="176">
      <c r="A176" s="1" t="s">
        <v>57</v>
      </c>
      <c r="B176" s="2">
        <v>45961.0</v>
      </c>
      <c r="C176" s="1" t="s">
        <v>52</v>
      </c>
      <c r="D176" s="1" t="s">
        <v>17</v>
      </c>
      <c r="E176" s="1" t="s">
        <v>17</v>
      </c>
      <c r="F176" s="1" t="s">
        <v>69</v>
      </c>
      <c r="G176" s="1">
        <v>5.8</v>
      </c>
      <c r="H176" s="1" t="s">
        <v>70</v>
      </c>
      <c r="I176" s="1" t="s">
        <v>21</v>
      </c>
      <c r="J176" s="1" t="s">
        <v>22</v>
      </c>
      <c r="K176" s="5" t="s">
        <v>24</v>
      </c>
    </row>
    <row r="177">
      <c r="A177" s="1" t="s">
        <v>57</v>
      </c>
      <c r="B177" s="2">
        <v>45961.0</v>
      </c>
      <c r="C177" s="1" t="s">
        <v>52</v>
      </c>
      <c r="D177" s="1" t="s">
        <v>50</v>
      </c>
      <c r="E177" s="1" t="s">
        <v>50</v>
      </c>
      <c r="F177" s="1" t="s">
        <v>69</v>
      </c>
      <c r="G177" s="1">
        <v>18.5</v>
      </c>
      <c r="H177" s="1" t="s">
        <v>70</v>
      </c>
      <c r="I177" s="1" t="s">
        <v>21</v>
      </c>
      <c r="J177" s="1" t="s">
        <v>22</v>
      </c>
      <c r="K177" s="5" t="s">
        <v>24</v>
      </c>
    </row>
    <row r="178">
      <c r="A178" s="1" t="s">
        <v>57</v>
      </c>
      <c r="B178" s="2">
        <v>45961.0</v>
      </c>
      <c r="C178" s="1" t="s">
        <v>52</v>
      </c>
      <c r="D178" s="1" t="s">
        <v>64</v>
      </c>
      <c r="E178" s="1" t="s">
        <v>61</v>
      </c>
      <c r="F178" s="1" t="s">
        <v>69</v>
      </c>
      <c r="G178" s="1">
        <v>9.3</v>
      </c>
      <c r="H178" s="1" t="s">
        <v>70</v>
      </c>
      <c r="I178" s="1" t="s">
        <v>21</v>
      </c>
      <c r="J178" s="1" t="s">
        <v>22</v>
      </c>
      <c r="K178" s="5" t="s">
        <v>24</v>
      </c>
    </row>
    <row r="179">
      <c r="A179" s="1" t="s">
        <v>43</v>
      </c>
      <c r="B179" s="2">
        <v>45869.0</v>
      </c>
      <c r="C179" s="1" t="s">
        <v>52</v>
      </c>
      <c r="D179" s="1" t="s">
        <v>17</v>
      </c>
      <c r="E179" s="1" t="s">
        <v>17</v>
      </c>
      <c r="F179" s="1" t="s">
        <v>69</v>
      </c>
      <c r="G179" s="1">
        <v>5.4</v>
      </c>
      <c r="H179" s="1" t="s">
        <v>70</v>
      </c>
      <c r="I179" s="1" t="s">
        <v>21</v>
      </c>
      <c r="J179" s="1" t="s">
        <v>22</v>
      </c>
      <c r="K179" s="5" t="s">
        <v>68</v>
      </c>
    </row>
    <row r="180">
      <c r="A180" s="1" t="s">
        <v>43</v>
      </c>
      <c r="B180" s="2">
        <v>45869.0</v>
      </c>
      <c r="C180" s="1" t="s">
        <v>52</v>
      </c>
      <c r="D180" s="1" t="s">
        <v>50</v>
      </c>
      <c r="E180" s="1" t="s">
        <v>50</v>
      </c>
      <c r="F180" s="1" t="s">
        <v>69</v>
      </c>
      <c r="G180" s="1">
        <v>17.0</v>
      </c>
      <c r="H180" s="1" t="s">
        <v>70</v>
      </c>
      <c r="I180" s="1" t="s">
        <v>21</v>
      </c>
      <c r="J180" s="1" t="s">
        <v>22</v>
      </c>
      <c r="K180" s="5" t="s">
        <v>68</v>
      </c>
    </row>
    <row r="181">
      <c r="A181" s="1" t="s">
        <v>43</v>
      </c>
      <c r="B181" s="2">
        <v>45869.0</v>
      </c>
      <c r="C181" s="1" t="s">
        <v>52</v>
      </c>
      <c r="D181" s="1" t="s">
        <v>64</v>
      </c>
      <c r="E181" s="1" t="s">
        <v>61</v>
      </c>
      <c r="F181" s="1" t="s">
        <v>69</v>
      </c>
      <c r="G181" s="1">
        <v>8.6</v>
      </c>
      <c r="H181" s="1" t="s">
        <v>70</v>
      </c>
      <c r="I181" s="1" t="s">
        <v>21</v>
      </c>
      <c r="J181" s="1" t="s">
        <v>22</v>
      </c>
      <c r="K181" s="5" t="s">
        <v>68</v>
      </c>
    </row>
    <row r="182">
      <c r="A182" s="1" t="s">
        <v>59</v>
      </c>
      <c r="B182" s="2">
        <v>46053.0</v>
      </c>
      <c r="C182" s="1" t="s">
        <v>62</v>
      </c>
      <c r="D182" s="1" t="s">
        <v>17</v>
      </c>
      <c r="E182" s="1" t="s">
        <v>17</v>
      </c>
      <c r="F182" s="1" t="s">
        <v>69</v>
      </c>
      <c r="G182" s="1">
        <v>5.0</v>
      </c>
      <c r="H182" s="1" t="s">
        <v>70</v>
      </c>
      <c r="I182" s="1" t="s">
        <v>21</v>
      </c>
      <c r="J182" s="1" t="s">
        <v>22</v>
      </c>
      <c r="K182" s="5" t="s">
        <v>24</v>
      </c>
    </row>
    <row r="183">
      <c r="A183" s="1" t="s">
        <v>59</v>
      </c>
      <c r="B183" s="2">
        <v>46053.0</v>
      </c>
      <c r="C183" s="1" t="s">
        <v>62</v>
      </c>
      <c r="D183" s="1" t="s">
        <v>50</v>
      </c>
      <c r="E183" s="1" t="s">
        <v>50</v>
      </c>
      <c r="F183" s="1" t="s">
        <v>69</v>
      </c>
      <c r="G183" s="1">
        <v>18.3</v>
      </c>
      <c r="H183" s="1" t="s">
        <v>70</v>
      </c>
      <c r="I183" s="1" t="s">
        <v>21</v>
      </c>
      <c r="J183" s="1" t="s">
        <v>22</v>
      </c>
      <c r="K183" s="5" t="s">
        <v>24</v>
      </c>
    </row>
    <row r="184">
      <c r="A184" s="1" t="s">
        <v>59</v>
      </c>
      <c r="B184" s="2">
        <v>46053.0</v>
      </c>
      <c r="C184" s="1" t="s">
        <v>62</v>
      </c>
      <c r="D184" s="1" t="s">
        <v>64</v>
      </c>
      <c r="E184" s="1" t="s">
        <v>61</v>
      </c>
      <c r="F184" s="1" t="s">
        <v>69</v>
      </c>
      <c r="G184" s="1">
        <v>8.7</v>
      </c>
      <c r="H184" s="1" t="s">
        <v>70</v>
      </c>
      <c r="I184" s="1" t="s">
        <v>21</v>
      </c>
      <c r="J184" s="1" t="s">
        <v>22</v>
      </c>
      <c r="K184" s="5" t="s">
        <v>24</v>
      </c>
    </row>
    <row r="185">
      <c r="A185" s="1" t="s">
        <v>65</v>
      </c>
      <c r="B185" s="2">
        <v>46142.0</v>
      </c>
      <c r="C185" s="1" t="s">
        <v>62</v>
      </c>
      <c r="D185" s="1" t="s">
        <v>17</v>
      </c>
      <c r="E185" s="1" t="s">
        <v>17</v>
      </c>
      <c r="F185" s="1" t="s">
        <v>69</v>
      </c>
      <c r="G185" s="1">
        <v>5.2</v>
      </c>
      <c r="H185" s="1" t="s">
        <v>70</v>
      </c>
      <c r="I185" s="1" t="s">
        <v>21</v>
      </c>
      <c r="J185" s="1" t="s">
        <v>22</v>
      </c>
      <c r="K185" s="5" t="s">
        <v>68</v>
      </c>
    </row>
    <row r="186">
      <c r="A186" s="1" t="s">
        <v>65</v>
      </c>
      <c r="B186" s="2">
        <v>46142.0</v>
      </c>
      <c r="C186" s="1" t="s">
        <v>62</v>
      </c>
      <c r="D186" s="1" t="s">
        <v>50</v>
      </c>
      <c r="E186" s="1" t="s">
        <v>50</v>
      </c>
      <c r="F186" s="1" t="s">
        <v>69</v>
      </c>
      <c r="G186" s="1">
        <v>18.3</v>
      </c>
      <c r="H186" s="1" t="s">
        <v>70</v>
      </c>
      <c r="I186" s="1" t="s">
        <v>21</v>
      </c>
      <c r="J186" s="1" t="s">
        <v>22</v>
      </c>
      <c r="K186" s="5" t="s">
        <v>68</v>
      </c>
    </row>
    <row r="187">
      <c r="A187" s="1" t="s">
        <v>65</v>
      </c>
      <c r="B187" s="2">
        <v>46142.0</v>
      </c>
      <c r="C187" s="1" t="s">
        <v>62</v>
      </c>
      <c r="D187" s="1" t="s">
        <v>64</v>
      </c>
      <c r="E187" s="1" t="s">
        <v>61</v>
      </c>
      <c r="F187" s="1" t="s">
        <v>69</v>
      </c>
      <c r="G187" s="1">
        <v>8.8</v>
      </c>
      <c r="H187" s="1" t="s">
        <v>70</v>
      </c>
      <c r="I187" s="1" t="s">
        <v>21</v>
      </c>
      <c r="J187" s="1" t="s">
        <v>22</v>
      </c>
      <c r="K187" s="5" t="s">
        <v>68</v>
      </c>
    </row>
    <row r="188">
      <c r="A188" s="1" t="s">
        <v>34</v>
      </c>
      <c r="B188" s="2">
        <v>46234.0</v>
      </c>
      <c r="C188" s="1" t="s">
        <v>62</v>
      </c>
      <c r="D188" s="1" t="s">
        <v>17</v>
      </c>
      <c r="E188" s="1" t="s">
        <v>17</v>
      </c>
      <c r="F188" s="1" t="s">
        <v>69</v>
      </c>
      <c r="G188" s="1">
        <v>4.6</v>
      </c>
      <c r="H188" s="1" t="s">
        <v>70</v>
      </c>
      <c r="I188" s="1" t="s">
        <v>21</v>
      </c>
      <c r="J188" s="1" t="s">
        <v>22</v>
      </c>
      <c r="K188" s="5" t="s">
        <v>68</v>
      </c>
    </row>
    <row r="189">
      <c r="A189" s="1" t="s">
        <v>34</v>
      </c>
      <c r="B189" s="2">
        <v>46234.0</v>
      </c>
      <c r="C189" s="1" t="s">
        <v>62</v>
      </c>
      <c r="D189" s="1" t="s">
        <v>50</v>
      </c>
      <c r="E189" s="1" t="s">
        <v>50</v>
      </c>
      <c r="F189" s="1" t="s">
        <v>69</v>
      </c>
      <c r="G189" s="1">
        <v>18.1</v>
      </c>
      <c r="H189" s="1" t="s">
        <v>70</v>
      </c>
      <c r="I189" s="1" t="s">
        <v>21</v>
      </c>
      <c r="J189" s="1" t="s">
        <v>22</v>
      </c>
      <c r="K189" s="5" t="s">
        <v>68</v>
      </c>
    </row>
    <row r="190">
      <c r="A190" s="1" t="s">
        <v>34</v>
      </c>
      <c r="B190" s="2">
        <v>46234.0</v>
      </c>
      <c r="C190" s="1" t="s">
        <v>62</v>
      </c>
      <c r="D190" s="1" t="s">
        <v>64</v>
      </c>
      <c r="E190" s="1" t="s">
        <v>61</v>
      </c>
      <c r="F190" s="1" t="s">
        <v>69</v>
      </c>
      <c r="G190" s="1">
        <v>7.8</v>
      </c>
      <c r="H190" s="1" t="s">
        <v>70</v>
      </c>
      <c r="I190" s="1" t="s">
        <v>21</v>
      </c>
      <c r="J190" s="1" t="s">
        <v>22</v>
      </c>
      <c r="K190" s="5" t="s">
        <v>68</v>
      </c>
    </row>
    <row r="191">
      <c r="A191" s="1" t="s">
        <v>51</v>
      </c>
      <c r="B191" s="2">
        <v>45688.0</v>
      </c>
      <c r="C191" s="1" t="s">
        <v>52</v>
      </c>
      <c r="D191" s="1" t="s">
        <v>17</v>
      </c>
      <c r="E191" s="1" t="s">
        <v>17</v>
      </c>
      <c r="F191" s="1" t="s">
        <v>71</v>
      </c>
      <c r="G191" s="1">
        <v>507.0</v>
      </c>
      <c r="H191" s="1" t="s">
        <v>20</v>
      </c>
      <c r="I191" s="1" t="s">
        <v>21</v>
      </c>
      <c r="J191" s="1" t="s">
        <v>22</v>
      </c>
      <c r="K191" s="5" t="s">
        <v>24</v>
      </c>
    </row>
    <row r="192">
      <c r="A192" s="1" t="s">
        <v>54</v>
      </c>
      <c r="B192" s="2">
        <v>45777.0</v>
      </c>
      <c r="C192" s="1" t="s">
        <v>52</v>
      </c>
      <c r="D192" s="1" t="s">
        <v>17</v>
      </c>
      <c r="E192" s="1" t="s">
        <v>17</v>
      </c>
      <c r="F192" s="1" t="s">
        <v>71</v>
      </c>
      <c r="G192" s="1">
        <v>409.0</v>
      </c>
      <c r="H192" s="1" t="s">
        <v>20</v>
      </c>
      <c r="I192" s="1" t="s">
        <v>21</v>
      </c>
      <c r="J192" s="1" t="s">
        <v>22</v>
      </c>
      <c r="K192" s="5" t="s">
        <v>24</v>
      </c>
    </row>
    <row r="193">
      <c r="A193" s="1" t="s">
        <v>43</v>
      </c>
      <c r="B193" s="2">
        <v>45869.0</v>
      </c>
      <c r="C193" s="1" t="s">
        <v>52</v>
      </c>
      <c r="D193" s="1" t="s">
        <v>17</v>
      </c>
      <c r="E193" s="1" t="s">
        <v>17</v>
      </c>
      <c r="F193" s="1" t="s">
        <v>71</v>
      </c>
      <c r="G193" s="1">
        <v>541.0</v>
      </c>
      <c r="H193" s="1" t="s">
        <v>20</v>
      </c>
      <c r="I193" s="1" t="s">
        <v>21</v>
      </c>
      <c r="J193" s="1" t="s">
        <v>22</v>
      </c>
      <c r="K193" s="5" t="s">
        <v>24</v>
      </c>
    </row>
    <row r="194">
      <c r="A194" s="1" t="s">
        <v>57</v>
      </c>
      <c r="B194" s="2">
        <v>45961.0</v>
      </c>
      <c r="C194" s="1" t="s">
        <v>52</v>
      </c>
      <c r="D194" s="1" t="s">
        <v>17</v>
      </c>
      <c r="E194" s="1" t="s">
        <v>17</v>
      </c>
      <c r="F194" s="1" t="s">
        <v>71</v>
      </c>
      <c r="G194" s="1">
        <v>597.0</v>
      </c>
      <c r="H194" s="1" t="s">
        <v>20</v>
      </c>
      <c r="I194" s="1" t="s">
        <v>21</v>
      </c>
      <c r="J194" s="1" t="s">
        <v>22</v>
      </c>
      <c r="K194" s="5" t="s">
        <v>24</v>
      </c>
    </row>
    <row r="195">
      <c r="A195" s="1" t="s">
        <v>51</v>
      </c>
      <c r="B195" s="2">
        <v>45688.0</v>
      </c>
      <c r="C195" s="1" t="s">
        <v>52</v>
      </c>
      <c r="D195" s="1" t="s">
        <v>50</v>
      </c>
      <c r="E195" s="1" t="s">
        <v>50</v>
      </c>
      <c r="F195" s="1" t="s">
        <v>71</v>
      </c>
      <c r="G195" s="1">
        <v>801.0</v>
      </c>
      <c r="H195" s="1" t="s">
        <v>20</v>
      </c>
      <c r="I195" s="1" t="s">
        <v>21</v>
      </c>
      <c r="J195" s="1" t="s">
        <v>22</v>
      </c>
      <c r="K195" s="5" t="s">
        <v>24</v>
      </c>
    </row>
    <row r="196">
      <c r="A196" s="1" t="s">
        <v>54</v>
      </c>
      <c r="B196" s="2">
        <v>45777.0</v>
      </c>
      <c r="C196" s="1" t="s">
        <v>52</v>
      </c>
      <c r="D196" s="1" t="s">
        <v>50</v>
      </c>
      <c r="E196" s="1" t="s">
        <v>50</v>
      </c>
      <c r="F196" s="1" t="s">
        <v>71</v>
      </c>
      <c r="G196" s="1">
        <v>804.0</v>
      </c>
      <c r="H196" s="1" t="s">
        <v>20</v>
      </c>
      <c r="I196" s="1" t="s">
        <v>21</v>
      </c>
      <c r="J196" s="1" t="s">
        <v>22</v>
      </c>
      <c r="K196" s="5" t="s">
        <v>24</v>
      </c>
    </row>
    <row r="197">
      <c r="A197" s="1" t="s">
        <v>43</v>
      </c>
      <c r="B197" s="2">
        <v>45869.0</v>
      </c>
      <c r="C197" s="1" t="s">
        <v>52</v>
      </c>
      <c r="D197" s="1" t="s">
        <v>50</v>
      </c>
      <c r="E197" s="1" t="s">
        <v>50</v>
      </c>
      <c r="F197" s="1" t="s">
        <v>71</v>
      </c>
      <c r="G197" s="1">
        <v>681.0</v>
      </c>
      <c r="H197" s="1" t="s">
        <v>20</v>
      </c>
      <c r="I197" s="1" t="s">
        <v>21</v>
      </c>
      <c r="J197" s="1" t="s">
        <v>22</v>
      </c>
      <c r="K197" s="5" t="s">
        <v>24</v>
      </c>
    </row>
    <row r="198">
      <c r="A198" s="1" t="s">
        <v>57</v>
      </c>
      <c r="B198" s="2">
        <v>45961.0</v>
      </c>
      <c r="C198" s="1" t="s">
        <v>52</v>
      </c>
      <c r="D198" s="1" t="s">
        <v>50</v>
      </c>
      <c r="E198" s="1" t="s">
        <v>50</v>
      </c>
      <c r="F198" s="1" t="s">
        <v>71</v>
      </c>
      <c r="G198" s="1">
        <v>793.0</v>
      </c>
      <c r="H198" s="1" t="s">
        <v>20</v>
      </c>
      <c r="I198" s="1" t="s">
        <v>21</v>
      </c>
      <c r="J198" s="1" t="s">
        <v>22</v>
      </c>
      <c r="K198" s="5" t="s">
        <v>24</v>
      </c>
    </row>
    <row r="199">
      <c r="A199" s="1" t="s">
        <v>51</v>
      </c>
      <c r="B199" s="2">
        <v>45688.0</v>
      </c>
      <c r="C199" s="1" t="s">
        <v>52</v>
      </c>
      <c r="D199" s="1" t="s">
        <v>60</v>
      </c>
      <c r="E199" s="1" t="s">
        <v>61</v>
      </c>
      <c r="F199" s="1" t="s">
        <v>71</v>
      </c>
      <c r="G199" s="1">
        <v>-18.0</v>
      </c>
      <c r="H199" s="1" t="s">
        <v>20</v>
      </c>
      <c r="I199" s="1" t="s">
        <v>21</v>
      </c>
      <c r="J199" s="1" t="s">
        <v>22</v>
      </c>
      <c r="K199" s="5" t="s">
        <v>24</v>
      </c>
    </row>
    <row r="200">
      <c r="A200" s="1" t="s">
        <v>54</v>
      </c>
      <c r="B200" s="2">
        <v>45777.0</v>
      </c>
      <c r="C200" s="1" t="s">
        <v>52</v>
      </c>
      <c r="D200" s="1" t="s">
        <v>60</v>
      </c>
      <c r="E200" s="1" t="s">
        <v>61</v>
      </c>
      <c r="F200" s="1" t="s">
        <v>71</v>
      </c>
      <c r="G200" s="1">
        <v>-27.0</v>
      </c>
      <c r="H200" s="1" t="s">
        <v>20</v>
      </c>
      <c r="I200" s="1" t="s">
        <v>21</v>
      </c>
      <c r="J200" s="1" t="s">
        <v>22</v>
      </c>
      <c r="K200" s="5" t="s">
        <v>24</v>
      </c>
    </row>
    <row r="201">
      <c r="A201" s="1" t="s">
        <v>43</v>
      </c>
      <c r="B201" s="2">
        <v>45869.0</v>
      </c>
      <c r="C201" s="1" t="s">
        <v>52</v>
      </c>
      <c r="D201" s="1" t="s">
        <v>60</v>
      </c>
      <c r="E201" s="1" t="s">
        <v>61</v>
      </c>
      <c r="F201" s="1" t="s">
        <v>71</v>
      </c>
      <c r="G201" s="1">
        <v>-24.0</v>
      </c>
      <c r="H201" s="1" t="s">
        <v>20</v>
      </c>
      <c r="I201" s="1" t="s">
        <v>21</v>
      </c>
      <c r="J201" s="1" t="s">
        <v>22</v>
      </c>
      <c r="K201" s="5" t="s">
        <v>24</v>
      </c>
    </row>
    <row r="202">
      <c r="A202" s="1" t="s">
        <v>57</v>
      </c>
      <c r="B202" s="2">
        <v>45961.0</v>
      </c>
      <c r="C202" s="1" t="s">
        <v>52</v>
      </c>
      <c r="D202" s="1" t="s">
        <v>60</v>
      </c>
      <c r="E202" s="1" t="s">
        <v>61</v>
      </c>
      <c r="F202" s="1" t="s">
        <v>71</v>
      </c>
      <c r="G202" s="1">
        <v>-22.0</v>
      </c>
      <c r="H202" s="1" t="s">
        <v>20</v>
      </c>
      <c r="I202" s="1" t="s">
        <v>21</v>
      </c>
      <c r="J202" s="1" t="s">
        <v>22</v>
      </c>
      <c r="K202" s="5" t="s">
        <v>24</v>
      </c>
    </row>
    <row r="203">
      <c r="A203" s="1" t="s">
        <v>51</v>
      </c>
      <c r="B203" s="2">
        <v>45688.0</v>
      </c>
      <c r="C203" s="1" t="s">
        <v>52</v>
      </c>
      <c r="D203" s="1" t="s">
        <v>17</v>
      </c>
      <c r="E203" s="1" t="s">
        <v>17</v>
      </c>
      <c r="F203" s="1" t="s">
        <v>71</v>
      </c>
      <c r="G203" s="1">
        <v>507.0</v>
      </c>
      <c r="H203" s="1" t="s">
        <v>20</v>
      </c>
      <c r="I203" s="1" t="s">
        <v>36</v>
      </c>
      <c r="J203" s="1" t="s">
        <v>22</v>
      </c>
      <c r="K203" s="5" t="s">
        <v>24</v>
      </c>
    </row>
    <row r="204">
      <c r="A204" s="1" t="s">
        <v>54</v>
      </c>
      <c r="B204" s="2">
        <v>45777.0</v>
      </c>
      <c r="C204" s="1" t="s">
        <v>52</v>
      </c>
      <c r="D204" s="1" t="s">
        <v>17</v>
      </c>
      <c r="E204" s="1" t="s">
        <v>17</v>
      </c>
      <c r="F204" s="1" t="s">
        <v>71</v>
      </c>
      <c r="G204" s="1">
        <v>409.0</v>
      </c>
      <c r="H204" s="1" t="s">
        <v>20</v>
      </c>
      <c r="I204" s="1" t="s">
        <v>36</v>
      </c>
      <c r="J204" s="1" t="s">
        <v>22</v>
      </c>
      <c r="K204" s="5" t="s">
        <v>24</v>
      </c>
    </row>
    <row r="205">
      <c r="A205" s="1" t="s">
        <v>43</v>
      </c>
      <c r="B205" s="2">
        <v>45869.0</v>
      </c>
      <c r="C205" s="1" t="s">
        <v>52</v>
      </c>
      <c r="D205" s="1" t="s">
        <v>17</v>
      </c>
      <c r="E205" s="1" t="s">
        <v>17</v>
      </c>
      <c r="F205" s="1" t="s">
        <v>71</v>
      </c>
      <c r="G205" s="1">
        <v>541.0</v>
      </c>
      <c r="H205" s="1" t="s">
        <v>20</v>
      </c>
      <c r="I205" s="1" t="s">
        <v>36</v>
      </c>
      <c r="J205" s="1" t="s">
        <v>22</v>
      </c>
      <c r="K205" s="5" t="s">
        <v>24</v>
      </c>
    </row>
    <row r="206">
      <c r="A206" s="1" t="s">
        <v>57</v>
      </c>
      <c r="B206" s="2">
        <v>45961.0</v>
      </c>
      <c r="C206" s="1" t="s">
        <v>52</v>
      </c>
      <c r="D206" s="1" t="s">
        <v>17</v>
      </c>
      <c r="E206" s="1" t="s">
        <v>17</v>
      </c>
      <c r="F206" s="1" t="s">
        <v>71</v>
      </c>
      <c r="G206" s="1">
        <v>597.0</v>
      </c>
      <c r="H206" s="1" t="s">
        <v>20</v>
      </c>
      <c r="I206" s="1" t="s">
        <v>36</v>
      </c>
      <c r="J206" s="1" t="s">
        <v>22</v>
      </c>
      <c r="K206" s="5" t="s">
        <v>24</v>
      </c>
    </row>
    <row r="207">
      <c r="A207" s="1" t="s">
        <v>51</v>
      </c>
      <c r="B207" s="2">
        <v>45688.0</v>
      </c>
      <c r="C207" s="1" t="s">
        <v>52</v>
      </c>
      <c r="D207" s="1" t="s">
        <v>50</v>
      </c>
      <c r="E207" s="1" t="s">
        <v>50</v>
      </c>
      <c r="F207" s="1" t="s">
        <v>71</v>
      </c>
      <c r="G207" s="1">
        <v>810.0</v>
      </c>
      <c r="H207" s="1" t="s">
        <v>20</v>
      </c>
      <c r="I207" s="1" t="s">
        <v>36</v>
      </c>
      <c r="J207" s="1" t="s">
        <v>22</v>
      </c>
      <c r="K207" s="5" t="s">
        <v>24</v>
      </c>
    </row>
    <row r="208">
      <c r="A208" s="1" t="s">
        <v>54</v>
      </c>
      <c r="B208" s="2">
        <v>45777.0</v>
      </c>
      <c r="C208" s="1" t="s">
        <v>52</v>
      </c>
      <c r="D208" s="1" t="s">
        <v>50</v>
      </c>
      <c r="E208" s="1" t="s">
        <v>50</v>
      </c>
      <c r="F208" s="1" t="s">
        <v>71</v>
      </c>
      <c r="G208" s="1">
        <v>814.0</v>
      </c>
      <c r="H208" s="1" t="s">
        <v>20</v>
      </c>
      <c r="I208" s="1" t="s">
        <v>36</v>
      </c>
      <c r="J208" s="1" t="s">
        <v>22</v>
      </c>
      <c r="K208" s="5" t="s">
        <v>24</v>
      </c>
    </row>
    <row r="209">
      <c r="A209" s="1" t="s">
        <v>43</v>
      </c>
      <c r="B209" s="2">
        <v>45869.0</v>
      </c>
      <c r="C209" s="1" t="s">
        <v>52</v>
      </c>
      <c r="D209" s="1" t="s">
        <v>50</v>
      </c>
      <c r="E209" s="1" t="s">
        <v>50</v>
      </c>
      <c r="F209" s="1" t="s">
        <v>71</v>
      </c>
      <c r="G209" s="1">
        <v>689.0</v>
      </c>
      <c r="H209" s="1" t="s">
        <v>20</v>
      </c>
      <c r="I209" s="1" t="s">
        <v>36</v>
      </c>
      <c r="J209" s="1" t="s">
        <v>22</v>
      </c>
      <c r="K209" s="5" t="s">
        <v>24</v>
      </c>
    </row>
    <row r="210">
      <c r="A210" s="1" t="s">
        <v>57</v>
      </c>
      <c r="B210" s="2">
        <v>45961.0</v>
      </c>
      <c r="C210" s="1" t="s">
        <v>52</v>
      </c>
      <c r="D210" s="1" t="s">
        <v>50</v>
      </c>
      <c r="E210" s="1" t="s">
        <v>50</v>
      </c>
      <c r="F210" s="1" t="s">
        <v>71</v>
      </c>
      <c r="G210" s="1">
        <v>805.0</v>
      </c>
      <c r="H210" s="1" t="s">
        <v>20</v>
      </c>
      <c r="I210" s="1" t="s">
        <v>36</v>
      </c>
      <c r="J210" s="1" t="s">
        <v>22</v>
      </c>
      <c r="K210" s="5" t="s">
        <v>24</v>
      </c>
    </row>
    <row r="211">
      <c r="A211" s="1" t="s">
        <v>51</v>
      </c>
      <c r="B211" s="2">
        <v>45688.0</v>
      </c>
      <c r="C211" s="1" t="s">
        <v>52</v>
      </c>
      <c r="D211" s="1" t="s">
        <v>60</v>
      </c>
      <c r="E211" s="1" t="s">
        <v>61</v>
      </c>
      <c r="F211" s="1" t="s">
        <v>71</v>
      </c>
      <c r="G211" s="1">
        <v>-27.0</v>
      </c>
      <c r="H211" s="1" t="s">
        <v>20</v>
      </c>
      <c r="I211" s="1" t="s">
        <v>36</v>
      </c>
      <c r="J211" s="1" t="s">
        <v>22</v>
      </c>
      <c r="K211" s="5" t="s">
        <v>24</v>
      </c>
    </row>
    <row r="212">
      <c r="A212" s="1" t="s">
        <v>54</v>
      </c>
      <c r="B212" s="2">
        <v>45777.0</v>
      </c>
      <c r="C212" s="1" t="s">
        <v>52</v>
      </c>
      <c r="D212" s="1" t="s">
        <v>60</v>
      </c>
      <c r="E212" s="1" t="s">
        <v>61</v>
      </c>
      <c r="F212" s="1" t="s">
        <v>71</v>
      </c>
      <c r="G212" s="1">
        <v>-37.0</v>
      </c>
      <c r="H212" s="1" t="s">
        <v>20</v>
      </c>
      <c r="I212" s="1" t="s">
        <v>36</v>
      </c>
      <c r="J212" s="1" t="s">
        <v>22</v>
      </c>
      <c r="K212" s="5" t="s">
        <v>24</v>
      </c>
    </row>
    <row r="213">
      <c r="A213" s="1" t="s">
        <v>43</v>
      </c>
      <c r="B213" s="2">
        <v>45869.0</v>
      </c>
      <c r="C213" s="1" t="s">
        <v>52</v>
      </c>
      <c r="D213" s="1" t="s">
        <v>60</v>
      </c>
      <c r="E213" s="1" t="s">
        <v>61</v>
      </c>
      <c r="F213" s="1" t="s">
        <v>71</v>
      </c>
      <c r="G213" s="1">
        <v>-32.0</v>
      </c>
      <c r="H213" s="1" t="s">
        <v>20</v>
      </c>
      <c r="I213" s="1" t="s">
        <v>36</v>
      </c>
      <c r="J213" s="1" t="s">
        <v>22</v>
      </c>
      <c r="K213" s="5" t="s">
        <v>24</v>
      </c>
    </row>
    <row r="214">
      <c r="A214" s="1" t="s">
        <v>57</v>
      </c>
      <c r="B214" s="2">
        <v>45961.0</v>
      </c>
      <c r="C214" s="1" t="s">
        <v>52</v>
      </c>
      <c r="D214" s="1" t="s">
        <v>60</v>
      </c>
      <c r="E214" s="1" t="s">
        <v>61</v>
      </c>
      <c r="F214" s="1" t="s">
        <v>71</v>
      </c>
      <c r="G214" s="1">
        <v>-34.0</v>
      </c>
      <c r="H214" s="1" t="s">
        <v>20</v>
      </c>
      <c r="I214" s="1" t="s">
        <v>36</v>
      </c>
      <c r="J214" s="1" t="s">
        <v>22</v>
      </c>
      <c r="K214" s="5" t="s">
        <v>24</v>
      </c>
    </row>
    <row r="215">
      <c r="A215" s="1" t="s">
        <v>59</v>
      </c>
      <c r="B215" s="2">
        <v>46053.0</v>
      </c>
      <c r="C215" s="1" t="s">
        <v>62</v>
      </c>
      <c r="D215" s="1" t="s">
        <v>17</v>
      </c>
      <c r="E215" s="1" t="s">
        <v>17</v>
      </c>
      <c r="F215" s="1" t="s">
        <v>71</v>
      </c>
      <c r="G215" s="1">
        <v>511.0</v>
      </c>
      <c r="H215" s="1" t="s">
        <v>20</v>
      </c>
      <c r="I215" s="1" t="s">
        <v>21</v>
      </c>
      <c r="J215" s="1" t="s">
        <v>22</v>
      </c>
      <c r="K215" s="5" t="s">
        <v>24</v>
      </c>
    </row>
    <row r="216">
      <c r="A216" s="1" t="s">
        <v>59</v>
      </c>
      <c r="B216" s="2">
        <v>46053.0</v>
      </c>
      <c r="C216" s="1" t="s">
        <v>62</v>
      </c>
      <c r="D216" s="1" t="s">
        <v>50</v>
      </c>
      <c r="E216" s="1" t="s">
        <v>50</v>
      </c>
      <c r="F216" s="1" t="s">
        <v>71</v>
      </c>
      <c r="G216" s="1">
        <v>765.0</v>
      </c>
      <c r="H216" s="1" t="s">
        <v>20</v>
      </c>
      <c r="I216" s="1" t="s">
        <v>21</v>
      </c>
      <c r="J216" s="1" t="s">
        <v>22</v>
      </c>
      <c r="K216" s="5" t="s">
        <v>24</v>
      </c>
    </row>
    <row r="217">
      <c r="A217" s="1" t="s">
        <v>59</v>
      </c>
      <c r="B217" s="2">
        <v>46053.0</v>
      </c>
      <c r="C217" s="1" t="s">
        <v>62</v>
      </c>
      <c r="D217" s="1" t="s">
        <v>60</v>
      </c>
      <c r="E217" s="1" t="s">
        <v>61</v>
      </c>
      <c r="F217" s="1" t="s">
        <v>71</v>
      </c>
      <c r="G217" s="1">
        <v>-24.0</v>
      </c>
      <c r="H217" s="1" t="s">
        <v>20</v>
      </c>
      <c r="I217" s="1" t="s">
        <v>21</v>
      </c>
      <c r="J217" s="1" t="s">
        <v>22</v>
      </c>
      <c r="K217" s="5" t="s">
        <v>24</v>
      </c>
    </row>
    <row r="218">
      <c r="A218" s="1" t="s">
        <v>65</v>
      </c>
      <c r="B218" s="2">
        <v>46142.0</v>
      </c>
      <c r="C218" s="1" t="s">
        <v>62</v>
      </c>
      <c r="D218" s="1" t="s">
        <v>17</v>
      </c>
      <c r="E218" s="1" t="s">
        <v>17</v>
      </c>
      <c r="F218" s="1" t="s">
        <v>71</v>
      </c>
      <c r="G218" s="1">
        <v>530.0</v>
      </c>
      <c r="H218" s="1" t="s">
        <v>20</v>
      </c>
      <c r="I218" s="1" t="s">
        <v>21</v>
      </c>
      <c r="J218" s="1" t="s">
        <v>22</v>
      </c>
      <c r="K218" s="5" t="s">
        <v>68</v>
      </c>
    </row>
    <row r="219">
      <c r="A219" s="1" t="s">
        <v>65</v>
      </c>
      <c r="B219" s="2">
        <v>46142.0</v>
      </c>
      <c r="C219" s="1" t="s">
        <v>62</v>
      </c>
      <c r="D219" s="1" t="s">
        <v>50</v>
      </c>
      <c r="E219" s="1" t="s">
        <v>50</v>
      </c>
      <c r="F219" s="1" t="s">
        <v>71</v>
      </c>
      <c r="G219" s="1">
        <v>767.0</v>
      </c>
      <c r="H219" s="1" t="s">
        <v>20</v>
      </c>
      <c r="I219" s="1" t="s">
        <v>21</v>
      </c>
      <c r="J219" s="1" t="s">
        <v>22</v>
      </c>
      <c r="K219" s="5" t="s">
        <v>68</v>
      </c>
    </row>
    <row r="220">
      <c r="A220" s="1" t="s">
        <v>65</v>
      </c>
      <c r="B220" s="2">
        <v>46142.0</v>
      </c>
      <c r="C220" s="1" t="s">
        <v>62</v>
      </c>
      <c r="D220" s="1" t="s">
        <v>60</v>
      </c>
      <c r="E220" s="1" t="s">
        <v>61</v>
      </c>
      <c r="F220" s="1" t="s">
        <v>71</v>
      </c>
      <c r="G220" s="1">
        <v>-29.0</v>
      </c>
      <c r="H220" s="1" t="s">
        <v>20</v>
      </c>
      <c r="I220" s="1" t="s">
        <v>21</v>
      </c>
      <c r="J220" s="1" t="s">
        <v>22</v>
      </c>
      <c r="K220" s="5" t="s">
        <v>68</v>
      </c>
    </row>
    <row r="221">
      <c r="A221" s="1" t="s">
        <v>34</v>
      </c>
      <c r="B221" s="2">
        <v>46234.0</v>
      </c>
      <c r="C221" s="1" t="s">
        <v>62</v>
      </c>
      <c r="D221" s="1" t="s">
        <v>17</v>
      </c>
      <c r="E221" s="1" t="s">
        <v>17</v>
      </c>
      <c r="F221" s="1" t="s">
        <v>71</v>
      </c>
      <c r="G221" s="1">
        <v>537.0</v>
      </c>
      <c r="H221" s="1" t="s">
        <v>20</v>
      </c>
      <c r="I221" s="1" t="s">
        <v>21</v>
      </c>
      <c r="J221" s="1" t="s">
        <v>22</v>
      </c>
      <c r="K221" s="5" t="s">
        <v>68</v>
      </c>
    </row>
    <row r="222">
      <c r="A222" s="1" t="s">
        <v>34</v>
      </c>
      <c r="B222" s="2">
        <v>46234.0</v>
      </c>
      <c r="C222" s="1" t="s">
        <v>62</v>
      </c>
      <c r="D222" s="1" t="s">
        <v>50</v>
      </c>
      <c r="E222" s="1" t="s">
        <v>50</v>
      </c>
      <c r="F222" s="1" t="s">
        <v>71</v>
      </c>
      <c r="G222" s="1">
        <v>709.0</v>
      </c>
      <c r="H222" s="1" t="s">
        <v>20</v>
      </c>
      <c r="I222" s="1" t="s">
        <v>21</v>
      </c>
      <c r="J222" s="1" t="s">
        <v>22</v>
      </c>
      <c r="K222" s="5" t="s">
        <v>68</v>
      </c>
    </row>
    <row r="223">
      <c r="A223" s="1" t="s">
        <v>34</v>
      </c>
      <c r="B223" s="2">
        <v>46234.0</v>
      </c>
      <c r="C223" s="1" t="s">
        <v>62</v>
      </c>
      <c r="D223" s="1" t="s">
        <v>60</v>
      </c>
      <c r="E223" s="1" t="s">
        <v>61</v>
      </c>
      <c r="F223" s="1" t="s">
        <v>71</v>
      </c>
      <c r="G223" s="1">
        <v>-28.0</v>
      </c>
      <c r="H223" s="1" t="s">
        <v>20</v>
      </c>
      <c r="I223" s="1" t="s">
        <v>21</v>
      </c>
      <c r="J223" s="1" t="s">
        <v>22</v>
      </c>
      <c r="K223" s="5" t="s">
        <v>68</v>
      </c>
    </row>
    <row r="224">
      <c r="A224" s="1" t="s">
        <v>59</v>
      </c>
      <c r="B224" s="2">
        <v>46053.0</v>
      </c>
      <c r="C224" s="1" t="s">
        <v>62</v>
      </c>
      <c r="D224" s="1" t="s">
        <v>17</v>
      </c>
      <c r="E224" s="1" t="s">
        <v>17</v>
      </c>
      <c r="F224" s="1" t="s">
        <v>72</v>
      </c>
      <c r="G224" s="1">
        <v>9.0</v>
      </c>
      <c r="H224" s="1" t="s">
        <v>70</v>
      </c>
      <c r="I224" s="1" t="s">
        <v>21</v>
      </c>
      <c r="J224" s="1" t="s">
        <v>22</v>
      </c>
      <c r="K224" s="5" t="s">
        <v>24</v>
      </c>
    </row>
    <row r="225">
      <c r="A225" s="1" t="s">
        <v>59</v>
      </c>
      <c r="B225" s="2">
        <v>46053.0</v>
      </c>
      <c r="C225" s="1" t="s">
        <v>62</v>
      </c>
      <c r="D225" s="1" t="s">
        <v>50</v>
      </c>
      <c r="E225" s="1" t="s">
        <v>50</v>
      </c>
      <c r="F225" s="1" t="s">
        <v>72</v>
      </c>
      <c r="G225" s="1">
        <v>-3.0</v>
      </c>
      <c r="H225" s="1" t="s">
        <v>70</v>
      </c>
      <c r="I225" s="1" t="s">
        <v>21</v>
      </c>
      <c r="J225" s="1" t="s">
        <v>22</v>
      </c>
      <c r="K225" s="5" t="s">
        <v>24</v>
      </c>
    </row>
    <row r="226">
      <c r="A226" s="1" t="s">
        <v>59</v>
      </c>
      <c r="B226" s="2">
        <v>46053.0</v>
      </c>
      <c r="C226" s="1" t="s">
        <v>62</v>
      </c>
      <c r="D226" s="1" t="s">
        <v>48</v>
      </c>
      <c r="E226" s="1" t="s">
        <v>50</v>
      </c>
      <c r="F226" s="1" t="s">
        <v>72</v>
      </c>
      <c r="G226" s="1">
        <v>-2.0</v>
      </c>
      <c r="H226" s="1" t="s">
        <v>70</v>
      </c>
      <c r="I226" s="1" t="s">
        <v>21</v>
      </c>
      <c r="J226" s="1" t="s">
        <v>22</v>
      </c>
      <c r="K226" s="5" t="s">
        <v>24</v>
      </c>
    </row>
    <row r="227">
      <c r="A227" s="1" t="s">
        <v>65</v>
      </c>
      <c r="B227" s="2">
        <v>46142.0</v>
      </c>
      <c r="C227" s="1" t="s">
        <v>62</v>
      </c>
      <c r="D227" s="1" t="s">
        <v>17</v>
      </c>
      <c r="E227" s="1" t="s">
        <v>17</v>
      </c>
      <c r="F227" s="1" t="s">
        <v>72</v>
      </c>
      <c r="G227" s="1">
        <v>10.0</v>
      </c>
      <c r="H227" s="1" t="s">
        <v>70</v>
      </c>
      <c r="I227" s="1" t="s">
        <v>21</v>
      </c>
      <c r="J227" s="1" t="s">
        <v>22</v>
      </c>
      <c r="K227" s="5" t="s">
        <v>73</v>
      </c>
    </row>
    <row r="228">
      <c r="A228" s="1" t="s">
        <v>65</v>
      </c>
      <c r="B228" s="2">
        <v>46142.0</v>
      </c>
      <c r="C228" s="1" t="s">
        <v>62</v>
      </c>
      <c r="D228" s="1" t="s">
        <v>50</v>
      </c>
      <c r="E228" s="1" t="s">
        <v>50</v>
      </c>
      <c r="F228" s="1" t="s">
        <v>72</v>
      </c>
      <c r="G228" s="1">
        <v>-2.0</v>
      </c>
      <c r="H228" s="1" t="s">
        <v>70</v>
      </c>
      <c r="I228" s="1" t="s">
        <v>21</v>
      </c>
      <c r="J228" s="1" t="s">
        <v>22</v>
      </c>
      <c r="K228" s="5" t="s">
        <v>73</v>
      </c>
    </row>
    <row r="229">
      <c r="A229" s="1" t="s">
        <v>65</v>
      </c>
      <c r="B229" s="2">
        <v>46142.0</v>
      </c>
      <c r="C229" s="1" t="s">
        <v>62</v>
      </c>
      <c r="D229" s="1" t="s">
        <v>48</v>
      </c>
      <c r="E229" s="1" t="s">
        <v>50</v>
      </c>
      <c r="F229" s="1" t="s">
        <v>72</v>
      </c>
      <c r="G229" s="1">
        <v>0.0</v>
      </c>
      <c r="H229" s="1" t="s">
        <v>70</v>
      </c>
      <c r="I229" s="1" t="s">
        <v>21</v>
      </c>
      <c r="J229" s="1" t="s">
        <v>22</v>
      </c>
      <c r="K229" s="5" t="s">
        <v>73</v>
      </c>
    </row>
    <row r="230">
      <c r="A230" s="1" t="s">
        <v>34</v>
      </c>
      <c r="B230" s="2">
        <v>46234.0</v>
      </c>
      <c r="C230" s="1" t="s">
        <v>62</v>
      </c>
      <c r="D230" s="1" t="s">
        <v>17</v>
      </c>
      <c r="E230" s="1" t="s">
        <v>17</v>
      </c>
      <c r="F230" s="1" t="s">
        <v>72</v>
      </c>
      <c r="G230" s="1">
        <v>17.0</v>
      </c>
      <c r="H230" s="1" t="s">
        <v>70</v>
      </c>
      <c r="I230" s="1" t="s">
        <v>21</v>
      </c>
      <c r="J230" s="1" t="s">
        <v>22</v>
      </c>
      <c r="K230" s="5" t="s">
        <v>68</v>
      </c>
    </row>
    <row r="231">
      <c r="A231" s="1" t="s">
        <v>34</v>
      </c>
      <c r="B231" s="2">
        <v>46234.0</v>
      </c>
      <c r="C231" s="1" t="s">
        <v>62</v>
      </c>
      <c r="D231" s="1" t="s">
        <v>50</v>
      </c>
      <c r="E231" s="1" t="s">
        <v>50</v>
      </c>
      <c r="F231" s="1" t="s">
        <v>72</v>
      </c>
      <c r="G231" s="1">
        <v>-4.0</v>
      </c>
      <c r="H231" s="1" t="s">
        <v>70</v>
      </c>
      <c r="I231" s="1" t="s">
        <v>21</v>
      </c>
      <c r="J231" s="1" t="s">
        <v>22</v>
      </c>
      <c r="K231" s="5" t="s">
        <v>68</v>
      </c>
    </row>
    <row r="232">
      <c r="A232" s="1" t="s">
        <v>34</v>
      </c>
      <c r="B232" s="2">
        <v>46234.0</v>
      </c>
      <c r="C232" s="1" t="s">
        <v>62</v>
      </c>
      <c r="D232" s="1" t="s">
        <v>48</v>
      </c>
      <c r="E232" s="1" t="s">
        <v>50</v>
      </c>
      <c r="F232" s="1" t="s">
        <v>72</v>
      </c>
      <c r="G232" s="1">
        <v>-4.0</v>
      </c>
      <c r="H232" s="1" t="s">
        <v>70</v>
      </c>
      <c r="I232" s="1" t="s">
        <v>21</v>
      </c>
      <c r="J232" s="1" t="s">
        <v>22</v>
      </c>
      <c r="K232" s="5" t="s">
        <v>68</v>
      </c>
    </row>
    <row r="233">
      <c r="A233" s="1" t="s">
        <v>59</v>
      </c>
      <c r="B233" s="2">
        <v>46053.0</v>
      </c>
      <c r="C233" s="1" t="s">
        <v>62</v>
      </c>
      <c r="D233" s="1" t="s">
        <v>17</v>
      </c>
      <c r="E233" s="1" t="s">
        <v>17</v>
      </c>
      <c r="F233" s="1" t="s">
        <v>74</v>
      </c>
      <c r="G233" s="1">
        <v>12.0</v>
      </c>
      <c r="H233" s="1" t="s">
        <v>70</v>
      </c>
      <c r="I233" s="1" t="s">
        <v>21</v>
      </c>
      <c r="J233" s="1" t="s">
        <v>22</v>
      </c>
      <c r="K233" s="5" t="s">
        <v>24</v>
      </c>
    </row>
    <row r="234">
      <c r="A234" s="1" t="s">
        <v>59</v>
      </c>
      <c r="B234" s="2">
        <v>46053.0</v>
      </c>
      <c r="C234" s="1" t="s">
        <v>62</v>
      </c>
      <c r="D234" s="1" t="s">
        <v>42</v>
      </c>
      <c r="E234" s="1" t="s">
        <v>17</v>
      </c>
      <c r="F234" s="1" t="s">
        <v>74</v>
      </c>
      <c r="G234" s="1">
        <v>14.0</v>
      </c>
      <c r="H234" s="1" t="s">
        <v>70</v>
      </c>
      <c r="I234" s="1" t="s">
        <v>21</v>
      </c>
      <c r="J234" s="1" t="s">
        <v>22</v>
      </c>
      <c r="K234" s="5" t="s">
        <v>24</v>
      </c>
    </row>
    <row r="235">
      <c r="A235" s="1" t="s">
        <v>59</v>
      </c>
      <c r="B235" s="2">
        <v>46053.0</v>
      </c>
      <c r="C235" s="1" t="s">
        <v>62</v>
      </c>
      <c r="D235" s="1" t="s">
        <v>15</v>
      </c>
      <c r="E235" s="1" t="s">
        <v>17</v>
      </c>
      <c r="F235" s="1" t="s">
        <v>74</v>
      </c>
      <c r="G235" s="1">
        <v>11.0</v>
      </c>
      <c r="H235" s="1" t="s">
        <v>70</v>
      </c>
      <c r="I235" s="1" t="s">
        <v>21</v>
      </c>
      <c r="J235" s="1" t="s">
        <v>22</v>
      </c>
      <c r="K235" s="5" t="s">
        <v>24</v>
      </c>
    </row>
    <row r="236">
      <c r="A236" s="1" t="s">
        <v>59</v>
      </c>
      <c r="B236" s="2">
        <v>46053.0</v>
      </c>
      <c r="C236" s="1" t="s">
        <v>62</v>
      </c>
      <c r="D236" s="1" t="s">
        <v>50</v>
      </c>
      <c r="E236" s="1" t="s">
        <v>50</v>
      </c>
      <c r="F236" s="1" t="s">
        <v>74</v>
      </c>
      <c r="G236" s="1">
        <v>-6.0</v>
      </c>
      <c r="H236" s="1" t="s">
        <v>70</v>
      </c>
      <c r="I236" s="1" t="s">
        <v>21</v>
      </c>
      <c r="J236" s="1" t="s">
        <v>22</v>
      </c>
      <c r="K236" s="5" t="s">
        <v>24</v>
      </c>
    </row>
    <row r="237">
      <c r="A237" s="1" t="s">
        <v>65</v>
      </c>
      <c r="B237" s="2">
        <v>46142.0</v>
      </c>
      <c r="C237" s="1" t="s">
        <v>62</v>
      </c>
      <c r="D237" s="1" t="s">
        <v>17</v>
      </c>
      <c r="E237" s="1" t="s">
        <v>17</v>
      </c>
      <c r="F237" s="1" t="s">
        <v>74</v>
      </c>
      <c r="G237" s="1">
        <v>-7.0</v>
      </c>
      <c r="H237" s="1" t="s">
        <v>70</v>
      </c>
      <c r="I237" s="1" t="s">
        <v>21</v>
      </c>
      <c r="J237" s="1" t="s">
        <v>22</v>
      </c>
      <c r="K237" s="5" t="s">
        <v>73</v>
      </c>
    </row>
    <row r="238">
      <c r="A238" s="1" t="s">
        <v>65</v>
      </c>
      <c r="B238" s="2">
        <v>46142.0</v>
      </c>
      <c r="C238" s="1" t="s">
        <v>62</v>
      </c>
      <c r="D238" s="1" t="s">
        <v>42</v>
      </c>
      <c r="E238" s="1" t="s">
        <v>17</v>
      </c>
      <c r="F238" s="1" t="s">
        <v>74</v>
      </c>
      <c r="G238" s="1">
        <v>-8.0</v>
      </c>
      <c r="H238" s="1" t="s">
        <v>70</v>
      </c>
      <c r="I238" s="1" t="s">
        <v>21</v>
      </c>
      <c r="J238" s="1" t="s">
        <v>22</v>
      </c>
      <c r="K238" s="5" t="s">
        <v>73</v>
      </c>
    </row>
    <row r="239">
      <c r="A239" s="1" t="s">
        <v>65</v>
      </c>
      <c r="B239" s="2">
        <v>46142.0</v>
      </c>
      <c r="C239" s="1" t="s">
        <v>62</v>
      </c>
      <c r="D239" s="1" t="s">
        <v>15</v>
      </c>
      <c r="E239" s="1" t="s">
        <v>17</v>
      </c>
      <c r="F239" s="1" t="s">
        <v>74</v>
      </c>
      <c r="G239" s="1">
        <v>-7.0</v>
      </c>
      <c r="H239" s="1" t="s">
        <v>70</v>
      </c>
      <c r="I239" s="1" t="s">
        <v>21</v>
      </c>
      <c r="J239" s="1" t="s">
        <v>22</v>
      </c>
      <c r="K239" s="5" t="s">
        <v>73</v>
      </c>
    </row>
    <row r="240">
      <c r="A240" s="1" t="s">
        <v>65</v>
      </c>
      <c r="B240" s="2">
        <v>46142.0</v>
      </c>
      <c r="C240" s="1" t="s">
        <v>62</v>
      </c>
      <c r="D240" s="1" t="s">
        <v>50</v>
      </c>
      <c r="E240" s="1" t="s">
        <v>50</v>
      </c>
      <c r="F240" s="1" t="s">
        <v>74</v>
      </c>
      <c r="G240" s="1">
        <v>-7.0</v>
      </c>
      <c r="H240" s="1" t="s">
        <v>70</v>
      </c>
      <c r="I240" s="1" t="s">
        <v>21</v>
      </c>
      <c r="J240" s="1" t="s">
        <v>22</v>
      </c>
      <c r="K240" s="5" t="s">
        <v>73</v>
      </c>
    </row>
    <row r="241">
      <c r="A241" s="1" t="s">
        <v>65</v>
      </c>
      <c r="B241" s="2">
        <v>46142.0</v>
      </c>
      <c r="C241" s="1" t="s">
        <v>62</v>
      </c>
      <c r="D241" s="1" t="s">
        <v>55</v>
      </c>
      <c r="E241" s="1" t="s">
        <v>50</v>
      </c>
      <c r="F241" s="1" t="s">
        <v>74</v>
      </c>
      <c r="G241" s="1">
        <v>-8.0</v>
      </c>
      <c r="H241" s="1" t="s">
        <v>70</v>
      </c>
      <c r="I241" s="1" t="s">
        <v>21</v>
      </c>
      <c r="J241" s="1" t="s">
        <v>22</v>
      </c>
      <c r="K241" s="5" t="s">
        <v>73</v>
      </c>
    </row>
    <row r="242">
      <c r="A242" s="1" t="s">
        <v>65</v>
      </c>
      <c r="B242" s="2">
        <v>46142.0</v>
      </c>
      <c r="C242" s="1" t="s">
        <v>62</v>
      </c>
      <c r="D242" s="1" t="s">
        <v>53</v>
      </c>
      <c r="E242" s="1" t="s">
        <v>50</v>
      </c>
      <c r="F242" s="1" t="s">
        <v>74</v>
      </c>
      <c r="G242" s="1">
        <v>-4.0</v>
      </c>
      <c r="H242" s="1" t="s">
        <v>70</v>
      </c>
      <c r="I242" s="1" t="s">
        <v>21</v>
      </c>
      <c r="J242" s="1" t="s">
        <v>22</v>
      </c>
      <c r="K242" s="5" t="s">
        <v>73</v>
      </c>
    </row>
    <row r="243">
      <c r="A243" s="1" t="s">
        <v>34</v>
      </c>
      <c r="B243" s="2">
        <v>46234.0</v>
      </c>
      <c r="C243" s="1" t="s">
        <v>62</v>
      </c>
      <c r="D243" s="1" t="s">
        <v>17</v>
      </c>
      <c r="E243" s="1" t="s">
        <v>17</v>
      </c>
      <c r="F243" s="1" t="s">
        <v>74</v>
      </c>
      <c r="G243" s="1">
        <v>-16.0</v>
      </c>
      <c r="H243" s="1" t="s">
        <v>70</v>
      </c>
      <c r="I243" s="1" t="s">
        <v>21</v>
      </c>
      <c r="J243" s="1" t="s">
        <v>22</v>
      </c>
      <c r="K243" s="5" t="s">
        <v>68</v>
      </c>
    </row>
    <row r="244">
      <c r="A244" s="1" t="s">
        <v>34</v>
      </c>
      <c r="B244" s="2">
        <v>46234.0</v>
      </c>
      <c r="C244" s="1" t="s">
        <v>62</v>
      </c>
      <c r="D244" s="1" t="s">
        <v>42</v>
      </c>
      <c r="E244" s="1" t="s">
        <v>17</v>
      </c>
      <c r="F244" s="1" t="s">
        <v>74</v>
      </c>
      <c r="G244" s="1">
        <v>-19.0</v>
      </c>
      <c r="H244" s="1" t="s">
        <v>70</v>
      </c>
      <c r="I244" s="1" t="s">
        <v>21</v>
      </c>
      <c r="J244" s="1" t="s">
        <v>22</v>
      </c>
      <c r="K244" s="5" t="s">
        <v>68</v>
      </c>
    </row>
    <row r="245">
      <c r="A245" s="1" t="s">
        <v>34</v>
      </c>
      <c r="B245" s="2">
        <v>46234.0</v>
      </c>
      <c r="C245" s="1" t="s">
        <v>62</v>
      </c>
      <c r="D245" s="1" t="s">
        <v>15</v>
      </c>
      <c r="E245" s="1" t="s">
        <v>17</v>
      </c>
      <c r="F245" s="1" t="s">
        <v>74</v>
      </c>
      <c r="G245" s="1">
        <v>-14.0</v>
      </c>
      <c r="H245" s="1" t="s">
        <v>70</v>
      </c>
      <c r="I245" s="1" t="s">
        <v>21</v>
      </c>
      <c r="J245" s="1" t="s">
        <v>22</v>
      </c>
      <c r="K245" s="5" t="s">
        <v>68</v>
      </c>
    </row>
    <row r="246">
      <c r="A246" s="1" t="s">
        <v>34</v>
      </c>
      <c r="B246" s="2">
        <v>46234.0</v>
      </c>
      <c r="C246" s="1" t="s">
        <v>62</v>
      </c>
      <c r="D246" s="1" t="s">
        <v>50</v>
      </c>
      <c r="E246" s="1" t="s">
        <v>50</v>
      </c>
      <c r="F246" s="1" t="s">
        <v>74</v>
      </c>
      <c r="G246" s="1">
        <v>-7.0</v>
      </c>
      <c r="H246" s="1" t="s">
        <v>70</v>
      </c>
      <c r="I246" s="1" t="s">
        <v>21</v>
      </c>
      <c r="J246" s="1" t="s">
        <v>22</v>
      </c>
      <c r="K246" s="5" t="s">
        <v>68</v>
      </c>
    </row>
    <row r="247">
      <c r="A247" s="1" t="s">
        <v>34</v>
      </c>
      <c r="B247" s="2">
        <v>46234.0</v>
      </c>
      <c r="C247" s="1" t="s">
        <v>62</v>
      </c>
      <c r="D247" s="1" t="s">
        <v>55</v>
      </c>
      <c r="E247" s="1" t="s">
        <v>50</v>
      </c>
      <c r="F247" s="1" t="s">
        <v>74</v>
      </c>
      <c r="G247" s="1">
        <v>-9.0</v>
      </c>
      <c r="H247" s="1" t="s">
        <v>70</v>
      </c>
      <c r="I247" s="1" t="s">
        <v>21</v>
      </c>
      <c r="J247" s="1" t="s">
        <v>22</v>
      </c>
      <c r="K247" s="5" t="s">
        <v>68</v>
      </c>
    </row>
    <row r="248">
      <c r="A248" s="1" t="s">
        <v>34</v>
      </c>
      <c r="B248" s="2">
        <v>46234.0</v>
      </c>
      <c r="C248" s="1" t="s">
        <v>62</v>
      </c>
      <c r="D248" s="1" t="s">
        <v>53</v>
      </c>
      <c r="E248" s="1" t="s">
        <v>50</v>
      </c>
      <c r="F248" s="1" t="s">
        <v>74</v>
      </c>
      <c r="G248" s="1">
        <v>-2.0</v>
      </c>
      <c r="H248" s="1" t="s">
        <v>70</v>
      </c>
      <c r="I248" s="1" t="s">
        <v>21</v>
      </c>
      <c r="J248" s="1" t="s">
        <v>22</v>
      </c>
      <c r="K248" s="5" t="s">
        <v>68</v>
      </c>
    </row>
    <row r="249">
      <c r="A249" s="1" t="s">
        <v>59</v>
      </c>
      <c r="B249" s="2">
        <v>46053.0</v>
      </c>
      <c r="C249" s="1" t="s">
        <v>62</v>
      </c>
      <c r="D249" s="1" t="s">
        <v>17</v>
      </c>
      <c r="E249" s="1" t="s">
        <v>17</v>
      </c>
      <c r="F249" s="1" t="s">
        <v>75</v>
      </c>
      <c r="G249" s="1">
        <v>11.0</v>
      </c>
      <c r="H249" s="1" t="s">
        <v>70</v>
      </c>
      <c r="I249" s="1" t="s">
        <v>21</v>
      </c>
      <c r="J249" s="1" t="s">
        <v>22</v>
      </c>
      <c r="K249" s="5" t="s">
        <v>24</v>
      </c>
    </row>
    <row r="250">
      <c r="A250" s="1" t="s">
        <v>59</v>
      </c>
      <c r="B250" s="2">
        <v>46053.0</v>
      </c>
      <c r="C250" s="1" t="s">
        <v>62</v>
      </c>
      <c r="D250" s="1" t="s">
        <v>50</v>
      </c>
      <c r="E250" s="1" t="s">
        <v>50</v>
      </c>
      <c r="F250" s="1" t="s">
        <v>75</v>
      </c>
      <c r="G250" s="1">
        <v>-2.0</v>
      </c>
      <c r="H250" s="1" t="s">
        <v>70</v>
      </c>
      <c r="I250" s="1" t="s">
        <v>21</v>
      </c>
      <c r="J250" s="1" t="s">
        <v>22</v>
      </c>
      <c r="K250" s="5" t="s">
        <v>24</v>
      </c>
    </row>
    <row r="251">
      <c r="A251" s="1" t="s">
        <v>65</v>
      </c>
      <c r="B251" s="2">
        <v>46142.0</v>
      </c>
      <c r="C251" s="1" t="s">
        <v>62</v>
      </c>
      <c r="D251" s="1" t="s">
        <v>17</v>
      </c>
      <c r="E251" s="1" t="s">
        <v>17</v>
      </c>
      <c r="F251" s="1" t="s">
        <v>75</v>
      </c>
      <c r="G251" s="1">
        <v>13.0</v>
      </c>
      <c r="H251" s="1" t="s">
        <v>70</v>
      </c>
      <c r="I251" s="1" t="s">
        <v>21</v>
      </c>
      <c r="J251" s="1" t="s">
        <v>22</v>
      </c>
      <c r="K251" s="5" t="s">
        <v>73</v>
      </c>
    </row>
    <row r="252">
      <c r="A252" s="1" t="s">
        <v>65</v>
      </c>
      <c r="B252" s="2">
        <v>46142.0</v>
      </c>
      <c r="C252" s="1" t="s">
        <v>62</v>
      </c>
      <c r="D252" s="1" t="s">
        <v>50</v>
      </c>
      <c r="E252" s="1" t="s">
        <v>50</v>
      </c>
      <c r="F252" s="1" t="s">
        <v>75</v>
      </c>
      <c r="G252" s="1">
        <v>0.0</v>
      </c>
      <c r="H252" s="1" t="s">
        <v>70</v>
      </c>
      <c r="I252" s="1" t="s">
        <v>21</v>
      </c>
      <c r="J252" s="1" t="s">
        <v>22</v>
      </c>
      <c r="K252" s="5" t="s">
        <v>73</v>
      </c>
    </row>
    <row r="253">
      <c r="A253" s="1" t="s">
        <v>34</v>
      </c>
      <c r="B253" s="2">
        <v>46234.0</v>
      </c>
      <c r="C253" s="1" t="s">
        <v>62</v>
      </c>
      <c r="D253" s="1" t="s">
        <v>17</v>
      </c>
      <c r="E253" s="1" t="s">
        <v>17</v>
      </c>
      <c r="F253" s="1" t="s">
        <v>75</v>
      </c>
      <c r="G253" s="1">
        <v>18.0</v>
      </c>
      <c r="H253" s="1" t="s">
        <v>70</v>
      </c>
      <c r="I253" s="1" t="s">
        <v>21</v>
      </c>
      <c r="J253" s="1" t="s">
        <v>22</v>
      </c>
      <c r="K253" s="5" t="s">
        <v>68</v>
      </c>
    </row>
    <row r="254">
      <c r="A254" s="1" t="s">
        <v>34</v>
      </c>
      <c r="B254" s="2">
        <v>46234.0</v>
      </c>
      <c r="C254" s="1" t="s">
        <v>62</v>
      </c>
      <c r="D254" s="1" t="s">
        <v>50</v>
      </c>
      <c r="E254" s="1" t="s">
        <v>50</v>
      </c>
      <c r="F254" s="1" t="s">
        <v>75</v>
      </c>
      <c r="G254" s="1">
        <v>-2.0</v>
      </c>
      <c r="H254" s="1" t="s">
        <v>70</v>
      </c>
      <c r="I254" s="1" t="s">
        <v>21</v>
      </c>
      <c r="J254" s="1" t="s">
        <v>22</v>
      </c>
      <c r="K254" s="5" t="s">
        <v>68</v>
      </c>
    </row>
  </sheetData>
  <autoFilter ref="$A$1:$Z$1000"/>
  <hyperlinks>
    <hyperlink r:id="rId1" ref="K2"/>
    <hyperlink r:id="rId2" ref="K3"/>
    <hyperlink r:id="rId3" ref="K4"/>
    <hyperlink r:id="rId4" ref="K5"/>
    <hyperlink r:id="rId5" ref="K6"/>
    <hyperlink r:id="rId6" ref="K7"/>
    <hyperlink r:id="rId7" ref="K8"/>
    <hyperlink r:id="rId8" ref="K9"/>
    <hyperlink r:id="rId9" ref="K10"/>
    <hyperlink r:id="rId10" ref="K11"/>
    <hyperlink r:id="rId11" ref="K12"/>
    <hyperlink r:id="rId12" ref="K13"/>
    <hyperlink r:id="rId13" ref="K14"/>
    <hyperlink r:id="rId14" ref="K15"/>
    <hyperlink r:id="rId15" ref="K16"/>
    <hyperlink r:id="rId16" ref="K17"/>
    <hyperlink r:id="rId17" ref="K18"/>
    <hyperlink r:id="rId18" ref="K19"/>
    <hyperlink r:id="rId19" ref="K20"/>
    <hyperlink r:id="rId20" ref="K21"/>
    <hyperlink r:id="rId21" ref="K22"/>
    <hyperlink r:id="rId22" ref="K23"/>
    <hyperlink r:id="rId23" ref="K24"/>
    <hyperlink r:id="rId24" ref="K25"/>
    <hyperlink r:id="rId25" ref="K26"/>
    <hyperlink r:id="rId26" ref="K27"/>
    <hyperlink r:id="rId27" ref="K28"/>
    <hyperlink r:id="rId28" ref="K29"/>
    <hyperlink r:id="rId29" ref="K30"/>
    <hyperlink r:id="rId30" ref="K31"/>
    <hyperlink r:id="rId31" ref="K32"/>
    <hyperlink r:id="rId32" ref="K33"/>
    <hyperlink r:id="rId33" ref="K34"/>
    <hyperlink r:id="rId34" ref="K35"/>
    <hyperlink r:id="rId35" ref="K36"/>
    <hyperlink r:id="rId36" ref="K37"/>
    <hyperlink r:id="rId37" ref="K38"/>
    <hyperlink r:id="rId38" ref="K39"/>
    <hyperlink r:id="rId39" ref="K40"/>
    <hyperlink r:id="rId40" ref="K41"/>
    <hyperlink r:id="rId41" ref="K42"/>
    <hyperlink r:id="rId42" ref="K43"/>
    <hyperlink r:id="rId43" ref="K44"/>
    <hyperlink r:id="rId44" ref="K45"/>
    <hyperlink r:id="rId45" ref="K46"/>
    <hyperlink r:id="rId46" ref="K47"/>
    <hyperlink r:id="rId47" ref="K48"/>
    <hyperlink r:id="rId48" ref="K49"/>
    <hyperlink r:id="rId49" ref="K50"/>
    <hyperlink r:id="rId50" ref="K51"/>
    <hyperlink r:id="rId51" ref="K52"/>
    <hyperlink r:id="rId52" ref="K53"/>
    <hyperlink r:id="rId53" ref="K54"/>
    <hyperlink r:id="rId54" ref="K55"/>
    <hyperlink r:id="rId55" ref="K56"/>
    <hyperlink r:id="rId56" ref="K57"/>
    <hyperlink r:id="rId57" ref="K58"/>
    <hyperlink r:id="rId58" ref="K59"/>
    <hyperlink r:id="rId59" ref="K60"/>
    <hyperlink r:id="rId60" ref="K61"/>
    <hyperlink r:id="rId61" ref="K62"/>
    <hyperlink r:id="rId62" ref="K63"/>
    <hyperlink r:id="rId63" ref="K64"/>
    <hyperlink r:id="rId64" ref="K65"/>
    <hyperlink r:id="rId65" ref="K66"/>
    <hyperlink r:id="rId66" ref="K67"/>
    <hyperlink r:id="rId67" ref="K68"/>
    <hyperlink r:id="rId68" ref="K69"/>
    <hyperlink r:id="rId69" ref="K70"/>
    <hyperlink r:id="rId70" ref="K71"/>
    <hyperlink r:id="rId71" ref="K72"/>
    <hyperlink r:id="rId72" ref="K73"/>
    <hyperlink r:id="rId73" ref="K74"/>
    <hyperlink r:id="rId74" ref="K75"/>
    <hyperlink r:id="rId75" ref="K76"/>
    <hyperlink r:id="rId76" ref="K77"/>
    <hyperlink r:id="rId77" ref="K78"/>
    <hyperlink r:id="rId78" ref="K79"/>
    <hyperlink r:id="rId79" ref="K80"/>
    <hyperlink r:id="rId80" ref="K81"/>
    <hyperlink r:id="rId81" ref="K82"/>
    <hyperlink r:id="rId82" ref="K83"/>
    <hyperlink r:id="rId83" ref="K84"/>
    <hyperlink r:id="rId84" ref="K85"/>
    <hyperlink r:id="rId85" ref="K86"/>
    <hyperlink r:id="rId86" ref="K87"/>
    <hyperlink r:id="rId87" ref="K88"/>
    <hyperlink r:id="rId88" ref="K89"/>
    <hyperlink r:id="rId89" ref="K90"/>
    <hyperlink r:id="rId90" ref="K91"/>
    <hyperlink r:id="rId91" ref="K92"/>
    <hyperlink r:id="rId92" ref="K93"/>
    <hyperlink r:id="rId93" ref="K94"/>
    <hyperlink r:id="rId94" ref="K95"/>
    <hyperlink r:id="rId95" ref="K96"/>
    <hyperlink r:id="rId96" ref="K97"/>
    <hyperlink r:id="rId97" ref="K98"/>
    <hyperlink r:id="rId98" ref="K99"/>
    <hyperlink r:id="rId99" ref="K100"/>
    <hyperlink r:id="rId100" ref="K101"/>
    <hyperlink r:id="rId101" ref="K102"/>
    <hyperlink r:id="rId102" ref="K103"/>
    <hyperlink r:id="rId103" ref="K104"/>
    <hyperlink r:id="rId104" ref="K105"/>
    <hyperlink r:id="rId105" ref="K106"/>
    <hyperlink r:id="rId106" ref="K107"/>
    <hyperlink r:id="rId107" ref="K108"/>
    <hyperlink r:id="rId108" ref="K109"/>
    <hyperlink r:id="rId109" ref="K110"/>
    <hyperlink r:id="rId110" ref="K111"/>
    <hyperlink r:id="rId111" ref="K112"/>
    <hyperlink r:id="rId112" ref="K113"/>
    <hyperlink r:id="rId113" ref="K114"/>
    <hyperlink r:id="rId114" ref="K115"/>
    <hyperlink r:id="rId115" ref="K116"/>
    <hyperlink r:id="rId116" ref="K117"/>
    <hyperlink r:id="rId117" ref="K118"/>
    <hyperlink r:id="rId118" ref="K119"/>
    <hyperlink r:id="rId119" ref="K120"/>
    <hyperlink r:id="rId120" ref="K121"/>
    <hyperlink r:id="rId121" ref="K122"/>
    <hyperlink r:id="rId122" ref="K123"/>
    <hyperlink r:id="rId123" ref="K124"/>
    <hyperlink r:id="rId124" ref="K125"/>
    <hyperlink r:id="rId125" ref="K126"/>
    <hyperlink r:id="rId126" ref="K127"/>
    <hyperlink r:id="rId127" ref="K128"/>
    <hyperlink r:id="rId128" ref="K129"/>
    <hyperlink r:id="rId129" ref="K130"/>
    <hyperlink r:id="rId130" ref="K131"/>
    <hyperlink r:id="rId131" ref="K132"/>
    <hyperlink r:id="rId132" ref="K133"/>
    <hyperlink r:id="rId133" ref="K134"/>
    <hyperlink r:id="rId134" ref="K135"/>
    <hyperlink r:id="rId135" ref="K136"/>
    <hyperlink r:id="rId136" ref="K137"/>
    <hyperlink r:id="rId137" ref="K138"/>
    <hyperlink r:id="rId138" ref="K139"/>
    <hyperlink r:id="rId139" ref="K140"/>
    <hyperlink r:id="rId140" ref="K141"/>
    <hyperlink r:id="rId141" ref="K142"/>
    <hyperlink r:id="rId142" ref="K143"/>
    <hyperlink r:id="rId143" ref="K144"/>
    <hyperlink r:id="rId144" ref="K145"/>
    <hyperlink r:id="rId145" ref="K146"/>
    <hyperlink r:id="rId146" ref="K147"/>
    <hyperlink r:id="rId147" ref="K148"/>
    <hyperlink r:id="rId148" ref="K149"/>
    <hyperlink r:id="rId149" ref="K150"/>
    <hyperlink r:id="rId150" ref="K151"/>
    <hyperlink r:id="rId151" ref="K152"/>
    <hyperlink r:id="rId152" ref="K153"/>
    <hyperlink r:id="rId153" ref="K154"/>
    <hyperlink r:id="rId154" ref="K155"/>
    <hyperlink r:id="rId155" ref="K156"/>
    <hyperlink r:id="rId156" ref="K157"/>
    <hyperlink r:id="rId157" ref="K158"/>
    <hyperlink r:id="rId158" ref="K159"/>
    <hyperlink r:id="rId159" ref="K160"/>
    <hyperlink r:id="rId160" ref="K161"/>
    <hyperlink r:id="rId161" ref="K162"/>
    <hyperlink r:id="rId162" ref="K163"/>
    <hyperlink r:id="rId163" ref="K164"/>
    <hyperlink r:id="rId164" ref="K165"/>
    <hyperlink r:id="rId165" ref="K166"/>
    <hyperlink r:id="rId166" ref="K167"/>
    <hyperlink r:id="rId167" ref="K168"/>
    <hyperlink r:id="rId168" ref="K169"/>
    <hyperlink r:id="rId169" ref="K170"/>
    <hyperlink r:id="rId170" ref="K171"/>
    <hyperlink r:id="rId171" ref="K172"/>
    <hyperlink r:id="rId172" ref="K173"/>
    <hyperlink r:id="rId173" ref="K174"/>
    <hyperlink r:id="rId174" ref="K175"/>
    <hyperlink r:id="rId175" ref="K176"/>
    <hyperlink r:id="rId176" ref="K177"/>
    <hyperlink r:id="rId177" ref="K178"/>
    <hyperlink r:id="rId178" ref="K179"/>
    <hyperlink r:id="rId179" ref="K180"/>
    <hyperlink r:id="rId180" ref="K181"/>
    <hyperlink r:id="rId181" ref="K182"/>
    <hyperlink r:id="rId182" ref="K183"/>
    <hyperlink r:id="rId183" ref="K184"/>
    <hyperlink r:id="rId184" ref="K185"/>
    <hyperlink r:id="rId185" ref="K186"/>
    <hyperlink r:id="rId186" ref="K187"/>
    <hyperlink r:id="rId187" ref="K188"/>
    <hyperlink r:id="rId188" ref="K189"/>
    <hyperlink r:id="rId189" ref="K190"/>
    <hyperlink r:id="rId190" ref="K191"/>
    <hyperlink r:id="rId191" ref="K192"/>
    <hyperlink r:id="rId192" ref="K193"/>
    <hyperlink r:id="rId193" ref="K194"/>
    <hyperlink r:id="rId194" ref="K195"/>
    <hyperlink r:id="rId195" ref="K196"/>
    <hyperlink r:id="rId196" ref="K197"/>
    <hyperlink r:id="rId197" ref="K198"/>
    <hyperlink r:id="rId198" ref="K199"/>
    <hyperlink r:id="rId199" ref="K200"/>
    <hyperlink r:id="rId200" ref="K201"/>
    <hyperlink r:id="rId201" ref="K202"/>
    <hyperlink r:id="rId202" ref="K203"/>
    <hyperlink r:id="rId203" ref="K204"/>
    <hyperlink r:id="rId204" ref="K205"/>
    <hyperlink r:id="rId205" ref="K206"/>
    <hyperlink r:id="rId206" ref="K207"/>
    <hyperlink r:id="rId207" ref="K208"/>
    <hyperlink r:id="rId208" ref="K209"/>
    <hyperlink r:id="rId209" ref="K210"/>
    <hyperlink r:id="rId210" ref="K211"/>
    <hyperlink r:id="rId211" ref="K212"/>
    <hyperlink r:id="rId212" ref="K213"/>
    <hyperlink r:id="rId213" ref="K214"/>
    <hyperlink r:id="rId214" ref="K215"/>
    <hyperlink r:id="rId215" ref="K216"/>
    <hyperlink r:id="rId216" ref="K217"/>
    <hyperlink r:id="rId217" ref="K218"/>
    <hyperlink r:id="rId218" ref="K219"/>
    <hyperlink r:id="rId219" ref="K220"/>
    <hyperlink r:id="rId220" ref="K221"/>
    <hyperlink r:id="rId221" ref="K222"/>
    <hyperlink r:id="rId222" ref="K223"/>
    <hyperlink r:id="rId223" ref="K224"/>
    <hyperlink r:id="rId224" ref="K225"/>
    <hyperlink r:id="rId225" ref="K226"/>
    <hyperlink r:id="rId226" ref="K227"/>
    <hyperlink r:id="rId227" ref="K228"/>
    <hyperlink r:id="rId228" ref="K229"/>
    <hyperlink r:id="rId229" ref="K230"/>
    <hyperlink r:id="rId230" ref="K231"/>
    <hyperlink r:id="rId231" ref="K232"/>
    <hyperlink r:id="rId232" ref="K233"/>
    <hyperlink r:id="rId233" ref="K234"/>
    <hyperlink r:id="rId234" ref="K235"/>
    <hyperlink r:id="rId235" ref="K236"/>
    <hyperlink r:id="rId236" ref="K237"/>
    <hyperlink r:id="rId237" ref="K238"/>
    <hyperlink r:id="rId238" ref="K239"/>
    <hyperlink r:id="rId239" ref="K240"/>
    <hyperlink r:id="rId240" ref="K241"/>
    <hyperlink r:id="rId241" ref="K242"/>
    <hyperlink r:id="rId242" ref="K243"/>
    <hyperlink r:id="rId243" ref="K244"/>
    <hyperlink r:id="rId244" ref="K245"/>
    <hyperlink r:id="rId245" ref="K246"/>
    <hyperlink r:id="rId246" ref="K247"/>
    <hyperlink r:id="rId247" ref="K248"/>
    <hyperlink r:id="rId248" ref="K249"/>
    <hyperlink r:id="rId249" ref="K250"/>
    <hyperlink r:id="rId250" ref="K251"/>
    <hyperlink r:id="rId251" ref="K252"/>
    <hyperlink r:id="rId252" ref="K253"/>
    <hyperlink r:id="rId253" ref="K254"/>
  </hyperlinks>
  <drawing r:id="rId25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11</v>
      </c>
      <c r="J1" s="1" t="s">
        <v>12</v>
      </c>
    </row>
    <row r="2">
      <c r="A2" s="1" t="s">
        <v>13</v>
      </c>
      <c r="B2" s="2">
        <v>45322.0</v>
      </c>
      <c r="C2" s="1" t="s">
        <v>14</v>
      </c>
      <c r="D2" s="1" t="s">
        <v>16</v>
      </c>
      <c r="E2" s="1" t="s">
        <v>19</v>
      </c>
      <c r="F2" s="1" t="s">
        <v>18</v>
      </c>
      <c r="G2" s="1">
        <v>3109.0</v>
      </c>
      <c r="H2" s="1" t="s">
        <v>20</v>
      </c>
      <c r="I2" s="1" t="s">
        <v>22</v>
      </c>
      <c r="J2" s="5" t="s">
        <v>25</v>
      </c>
    </row>
    <row r="3">
      <c r="A3" s="1" t="s">
        <v>13</v>
      </c>
      <c r="B3" s="2">
        <v>45322.0</v>
      </c>
      <c r="C3" s="1" t="s">
        <v>14</v>
      </c>
      <c r="D3" s="1" t="s">
        <v>16</v>
      </c>
      <c r="E3" s="1" t="s">
        <v>35</v>
      </c>
      <c r="F3" s="1" t="s">
        <v>18</v>
      </c>
      <c r="G3" s="1">
        <v>5408.0</v>
      </c>
      <c r="H3" s="1" t="s">
        <v>20</v>
      </c>
      <c r="I3" s="1" t="s">
        <v>22</v>
      </c>
      <c r="J3" s="5" t="s">
        <v>25</v>
      </c>
    </row>
    <row r="4">
      <c r="A4" s="1" t="s">
        <v>13</v>
      </c>
      <c r="B4" s="2">
        <v>45322.0</v>
      </c>
      <c r="C4" s="1" t="s">
        <v>14</v>
      </c>
      <c r="D4" s="1" t="s">
        <v>16</v>
      </c>
      <c r="E4" s="1" t="s">
        <v>38</v>
      </c>
      <c r="F4" s="1" t="s">
        <v>18</v>
      </c>
      <c r="G4" s="1">
        <v>4668.0</v>
      </c>
      <c r="H4" s="1" t="s">
        <v>20</v>
      </c>
      <c r="I4" s="1" t="s">
        <v>22</v>
      </c>
      <c r="J4" s="5" t="s">
        <v>25</v>
      </c>
    </row>
    <row r="5">
      <c r="A5" s="1" t="s">
        <v>37</v>
      </c>
      <c r="B5" s="2">
        <v>45412.0</v>
      </c>
      <c r="C5" s="1" t="s">
        <v>14</v>
      </c>
      <c r="D5" s="1" t="s">
        <v>16</v>
      </c>
      <c r="E5" s="1" t="s">
        <v>19</v>
      </c>
      <c r="F5" s="1" t="s">
        <v>18</v>
      </c>
      <c r="G5" s="1">
        <v>2836.0</v>
      </c>
      <c r="H5" s="1" t="s">
        <v>20</v>
      </c>
      <c r="I5" s="1" t="s">
        <v>22</v>
      </c>
      <c r="J5" s="5" t="s">
        <v>40</v>
      </c>
    </row>
    <row r="6">
      <c r="A6" s="1" t="s">
        <v>37</v>
      </c>
      <c r="B6" s="2">
        <v>45412.0</v>
      </c>
      <c r="C6" s="1" t="s">
        <v>14</v>
      </c>
      <c r="D6" s="1" t="s">
        <v>16</v>
      </c>
      <c r="E6" s="1" t="s">
        <v>35</v>
      </c>
      <c r="F6" s="1" t="s">
        <v>18</v>
      </c>
      <c r="G6" s="1">
        <v>5591.0</v>
      </c>
      <c r="H6" s="1" t="s">
        <v>20</v>
      </c>
      <c r="I6" s="1" t="s">
        <v>22</v>
      </c>
      <c r="J6" s="5" t="s">
        <v>40</v>
      </c>
    </row>
    <row r="7">
      <c r="A7" s="1" t="s">
        <v>37</v>
      </c>
      <c r="B7" s="2">
        <v>45412.0</v>
      </c>
      <c r="C7" s="1" t="s">
        <v>14</v>
      </c>
      <c r="D7" s="1" t="s">
        <v>16</v>
      </c>
      <c r="E7" s="1" t="s">
        <v>38</v>
      </c>
      <c r="F7" s="1" t="s">
        <v>18</v>
      </c>
      <c r="G7" s="1">
        <v>4373.0</v>
      </c>
      <c r="H7" s="1" t="s">
        <v>20</v>
      </c>
      <c r="I7" s="1" t="s">
        <v>22</v>
      </c>
      <c r="J7" s="5" t="s">
        <v>40</v>
      </c>
    </row>
    <row r="8">
      <c r="A8" s="1" t="s">
        <v>39</v>
      </c>
      <c r="B8" s="2">
        <v>45504.0</v>
      </c>
      <c r="C8" s="1" t="s">
        <v>14</v>
      </c>
      <c r="D8" s="1" t="s">
        <v>16</v>
      </c>
      <c r="E8" s="1" t="s">
        <v>19</v>
      </c>
      <c r="F8" s="1" t="s">
        <v>18</v>
      </c>
      <c r="G8" s="1">
        <v>3013.0</v>
      </c>
      <c r="H8" s="1" t="s">
        <v>20</v>
      </c>
      <c r="I8" s="1" t="s">
        <v>22</v>
      </c>
      <c r="J8" s="5" t="s">
        <v>44</v>
      </c>
    </row>
    <row r="9">
      <c r="A9" s="1" t="s">
        <v>39</v>
      </c>
      <c r="B9" s="2">
        <v>45504.0</v>
      </c>
      <c r="C9" s="1" t="s">
        <v>14</v>
      </c>
      <c r="D9" s="1" t="s">
        <v>16</v>
      </c>
      <c r="E9" s="1" t="s">
        <v>35</v>
      </c>
      <c r="F9" s="1" t="s">
        <v>18</v>
      </c>
      <c r="G9" s="1">
        <v>6086.0</v>
      </c>
      <c r="H9" s="1" t="s">
        <v>20</v>
      </c>
      <c r="I9" s="1" t="s">
        <v>22</v>
      </c>
      <c r="J9" s="5" t="s">
        <v>44</v>
      </c>
    </row>
    <row r="10">
      <c r="A10" s="1" t="s">
        <v>39</v>
      </c>
      <c r="B10" s="2">
        <v>45504.0</v>
      </c>
      <c r="C10" s="1" t="s">
        <v>14</v>
      </c>
      <c r="D10" s="1" t="s">
        <v>16</v>
      </c>
      <c r="E10" s="1" t="s">
        <v>38</v>
      </c>
      <c r="F10" s="1" t="s">
        <v>18</v>
      </c>
      <c r="G10" s="1">
        <v>4420.0</v>
      </c>
      <c r="H10" s="1" t="s">
        <v>20</v>
      </c>
      <c r="I10" s="1" t="s">
        <v>22</v>
      </c>
      <c r="J10" s="5" t="s">
        <v>44</v>
      </c>
    </row>
    <row r="11">
      <c r="A11" s="1" t="s">
        <v>14</v>
      </c>
      <c r="B11" s="2">
        <v>45596.0</v>
      </c>
      <c r="C11" s="1" t="s">
        <v>14</v>
      </c>
      <c r="D11" s="1" t="s">
        <v>45</v>
      </c>
      <c r="E11" s="1" t="s">
        <v>19</v>
      </c>
      <c r="F11" s="1" t="s">
        <v>18</v>
      </c>
      <c r="G11" s="1">
        <v>12264.0</v>
      </c>
      <c r="H11" s="1" t="s">
        <v>20</v>
      </c>
      <c r="I11" s="1" t="s">
        <v>22</v>
      </c>
      <c r="J11" s="5" t="s">
        <v>46</v>
      </c>
    </row>
    <row r="12">
      <c r="A12" s="1" t="s">
        <v>41</v>
      </c>
      <c r="B12" s="2">
        <v>45596.0</v>
      </c>
      <c r="C12" s="1" t="s">
        <v>14</v>
      </c>
      <c r="D12" s="1" t="s">
        <v>16</v>
      </c>
      <c r="E12" s="1" t="s">
        <v>19</v>
      </c>
      <c r="F12" s="1" t="s">
        <v>18</v>
      </c>
      <c r="G12" s="1">
        <v>3306.0</v>
      </c>
      <c r="H12" s="1" t="s">
        <v>20</v>
      </c>
      <c r="I12" s="1" t="s">
        <v>47</v>
      </c>
      <c r="J12" s="1" t="s">
        <v>49</v>
      </c>
    </row>
    <row r="13">
      <c r="A13" s="1" t="s">
        <v>14</v>
      </c>
      <c r="B13" s="2">
        <v>45596.0</v>
      </c>
      <c r="C13" s="1" t="s">
        <v>14</v>
      </c>
      <c r="D13" s="1" t="s">
        <v>45</v>
      </c>
      <c r="E13" s="1" t="s">
        <v>35</v>
      </c>
      <c r="F13" s="1" t="s">
        <v>18</v>
      </c>
      <c r="G13" s="1">
        <v>23251.0</v>
      </c>
      <c r="H13" s="1" t="s">
        <v>20</v>
      </c>
      <c r="I13" s="1" t="s">
        <v>22</v>
      </c>
      <c r="J13" s="5" t="s">
        <v>46</v>
      </c>
    </row>
    <row r="14">
      <c r="A14" s="1" t="s">
        <v>41</v>
      </c>
      <c r="B14" s="2">
        <v>45596.0</v>
      </c>
      <c r="C14" s="1" t="s">
        <v>14</v>
      </c>
      <c r="D14" s="1" t="s">
        <v>16</v>
      </c>
      <c r="E14" s="1" t="s">
        <v>35</v>
      </c>
      <c r="F14" s="1" t="s">
        <v>18</v>
      </c>
      <c r="G14" s="1">
        <v>6166.0</v>
      </c>
      <c r="H14" s="1" t="s">
        <v>20</v>
      </c>
      <c r="I14" s="1" t="s">
        <v>47</v>
      </c>
      <c r="J14" s="1" t="s">
        <v>49</v>
      </c>
    </row>
    <row r="15">
      <c r="A15" s="1" t="s">
        <v>14</v>
      </c>
      <c r="B15" s="2">
        <v>45596.0</v>
      </c>
      <c r="C15" s="1" t="s">
        <v>14</v>
      </c>
      <c r="D15" s="1" t="s">
        <v>45</v>
      </c>
      <c r="E15" s="1" t="s">
        <v>38</v>
      </c>
      <c r="F15" s="1" t="s">
        <v>18</v>
      </c>
      <c r="G15" s="1">
        <v>18044.0</v>
      </c>
      <c r="H15" s="1" t="s">
        <v>20</v>
      </c>
      <c r="I15" s="1" t="s">
        <v>22</v>
      </c>
      <c r="J15" s="5" t="s">
        <v>46</v>
      </c>
    </row>
    <row r="16">
      <c r="A16" s="1" t="s">
        <v>41</v>
      </c>
      <c r="B16" s="2">
        <v>45596.0</v>
      </c>
      <c r="C16" s="1" t="s">
        <v>14</v>
      </c>
      <c r="D16" s="1" t="s">
        <v>16</v>
      </c>
      <c r="E16" s="1" t="s">
        <v>38</v>
      </c>
      <c r="F16" s="1" t="s">
        <v>18</v>
      </c>
      <c r="G16" s="1">
        <v>4583.0</v>
      </c>
      <c r="H16" s="1" t="s">
        <v>20</v>
      </c>
      <c r="I16" s="1" t="s">
        <v>47</v>
      </c>
      <c r="J16" s="1" t="s">
        <v>49</v>
      </c>
    </row>
    <row r="17">
      <c r="A17" s="1" t="s">
        <v>51</v>
      </c>
      <c r="B17" s="2">
        <v>45688.0</v>
      </c>
      <c r="C17" s="1" t="s">
        <v>52</v>
      </c>
      <c r="D17" s="1" t="s">
        <v>16</v>
      </c>
      <c r="E17" s="1" t="s">
        <v>19</v>
      </c>
      <c r="F17" s="1" t="s">
        <v>18</v>
      </c>
      <c r="G17" s="1">
        <v>3231.0</v>
      </c>
      <c r="H17" s="1" t="s">
        <v>20</v>
      </c>
      <c r="I17" s="1" t="s">
        <v>22</v>
      </c>
      <c r="J17" s="5" t="s">
        <v>25</v>
      </c>
    </row>
    <row r="18">
      <c r="A18" s="1" t="s">
        <v>51</v>
      </c>
      <c r="B18" s="2">
        <v>45688.0</v>
      </c>
      <c r="C18" s="1" t="s">
        <v>52</v>
      </c>
      <c r="D18" s="1" t="s">
        <v>16</v>
      </c>
      <c r="E18" s="1" t="s">
        <v>35</v>
      </c>
      <c r="F18" s="1" t="s">
        <v>18</v>
      </c>
      <c r="G18" s="1">
        <v>5519.0</v>
      </c>
      <c r="H18" s="1" t="s">
        <v>20</v>
      </c>
      <c r="I18" s="1" t="s">
        <v>22</v>
      </c>
      <c r="J18" s="5" t="s">
        <v>25</v>
      </c>
    </row>
    <row r="19">
      <c r="A19" s="1" t="s">
        <v>51</v>
      </c>
      <c r="B19" s="2">
        <v>45688.0</v>
      </c>
      <c r="C19" s="1" t="s">
        <v>52</v>
      </c>
      <c r="D19" s="1" t="s">
        <v>16</v>
      </c>
      <c r="E19" s="1" t="s">
        <v>38</v>
      </c>
      <c r="F19" s="1" t="s">
        <v>18</v>
      </c>
      <c r="G19" s="1">
        <v>4754.0</v>
      </c>
      <c r="H19" s="1" t="s">
        <v>20</v>
      </c>
      <c r="I19" s="1" t="s">
        <v>22</v>
      </c>
      <c r="J19" s="5" t="s">
        <v>25</v>
      </c>
    </row>
    <row r="20">
      <c r="A20" s="1" t="s">
        <v>54</v>
      </c>
      <c r="B20" s="2">
        <v>45777.0</v>
      </c>
      <c r="C20" s="1" t="s">
        <v>52</v>
      </c>
      <c r="D20" s="1" t="s">
        <v>16</v>
      </c>
      <c r="E20" s="1" t="s">
        <v>19</v>
      </c>
      <c r="F20" s="1" t="s">
        <v>18</v>
      </c>
      <c r="G20" s="1">
        <v>3034.0</v>
      </c>
      <c r="H20" s="1" t="s">
        <v>20</v>
      </c>
      <c r="I20" s="1" t="s">
        <v>22</v>
      </c>
      <c r="J20" s="5" t="s">
        <v>40</v>
      </c>
    </row>
    <row r="21">
      <c r="A21" s="1" t="s">
        <v>54</v>
      </c>
      <c r="B21" s="2">
        <v>45777.0</v>
      </c>
      <c r="C21" s="1" t="s">
        <v>52</v>
      </c>
      <c r="D21" s="1" t="s">
        <v>16</v>
      </c>
      <c r="E21" s="1" t="s">
        <v>35</v>
      </c>
      <c r="F21" s="1" t="s">
        <v>18</v>
      </c>
      <c r="G21" s="1">
        <v>5793.0</v>
      </c>
      <c r="H21" s="1" t="s">
        <v>20</v>
      </c>
      <c r="I21" s="1" t="s">
        <v>22</v>
      </c>
      <c r="J21" s="5" t="s">
        <v>40</v>
      </c>
    </row>
    <row r="22">
      <c r="A22" s="1" t="s">
        <v>54</v>
      </c>
      <c r="B22" s="2">
        <v>45777.0</v>
      </c>
      <c r="C22" s="1" t="s">
        <v>52</v>
      </c>
      <c r="D22" s="1" t="s">
        <v>16</v>
      </c>
      <c r="E22" s="1" t="s">
        <v>38</v>
      </c>
      <c r="F22" s="1" t="s">
        <v>18</v>
      </c>
      <c r="G22" s="1">
        <v>4393.0</v>
      </c>
      <c r="H22" s="1" t="s">
        <v>20</v>
      </c>
      <c r="I22" s="1" t="s">
        <v>22</v>
      </c>
      <c r="J22" s="5" t="s">
        <v>40</v>
      </c>
    </row>
    <row r="23">
      <c r="A23" s="1" t="s">
        <v>43</v>
      </c>
      <c r="B23" s="2">
        <v>45869.0</v>
      </c>
      <c r="C23" s="1" t="s">
        <v>52</v>
      </c>
      <c r="D23" s="1" t="s">
        <v>16</v>
      </c>
      <c r="E23" s="1" t="s">
        <v>19</v>
      </c>
      <c r="F23" s="1" t="s">
        <v>18</v>
      </c>
      <c r="G23" s="1">
        <v>3323.0</v>
      </c>
      <c r="H23" s="1" t="s">
        <v>20</v>
      </c>
      <c r="I23" s="1" t="s">
        <v>22</v>
      </c>
      <c r="J23" s="5" t="s">
        <v>44</v>
      </c>
    </row>
    <row r="24">
      <c r="A24" s="1" t="s">
        <v>43</v>
      </c>
      <c r="B24" s="2">
        <v>45869.0</v>
      </c>
      <c r="C24" s="1" t="s">
        <v>52</v>
      </c>
      <c r="D24" s="1" t="s">
        <v>16</v>
      </c>
      <c r="E24" s="1" t="s">
        <v>35</v>
      </c>
      <c r="F24" s="1" t="s">
        <v>18</v>
      </c>
      <c r="G24" s="1">
        <v>6107.0</v>
      </c>
      <c r="H24" s="1" t="s">
        <v>20</v>
      </c>
      <c r="I24" s="1" t="s">
        <v>22</v>
      </c>
      <c r="J24" s="5" t="s">
        <v>44</v>
      </c>
    </row>
    <row r="25">
      <c r="A25" s="1" t="s">
        <v>43</v>
      </c>
      <c r="B25" s="2">
        <v>45869.0</v>
      </c>
      <c r="C25" s="1" t="s">
        <v>52</v>
      </c>
      <c r="D25" s="1" t="s">
        <v>16</v>
      </c>
      <c r="E25" s="1" t="s">
        <v>38</v>
      </c>
      <c r="F25" s="1" t="s">
        <v>18</v>
      </c>
      <c r="G25" s="1">
        <v>4502.0</v>
      </c>
      <c r="H25" s="1" t="s">
        <v>20</v>
      </c>
      <c r="I25" s="1" t="s">
        <v>22</v>
      </c>
      <c r="J25" s="5" t="s">
        <v>44</v>
      </c>
    </row>
    <row r="26">
      <c r="A26" s="1" t="s">
        <v>52</v>
      </c>
      <c r="B26" s="2">
        <v>45961.0</v>
      </c>
      <c r="C26" s="1" t="s">
        <v>52</v>
      </c>
      <c r="D26" s="1" t="s">
        <v>45</v>
      </c>
      <c r="E26" s="1" t="s">
        <v>19</v>
      </c>
      <c r="F26" s="1" t="s">
        <v>18</v>
      </c>
      <c r="G26" s="1">
        <v>13154.0</v>
      </c>
      <c r="H26" s="1" t="s">
        <v>20</v>
      </c>
      <c r="I26" s="1" t="s">
        <v>22</v>
      </c>
      <c r="J26" s="5" t="s">
        <v>56</v>
      </c>
    </row>
    <row r="27">
      <c r="A27" s="1" t="s">
        <v>57</v>
      </c>
      <c r="B27" s="2">
        <v>45961.0</v>
      </c>
      <c r="C27" s="1" t="s">
        <v>52</v>
      </c>
      <c r="D27" s="1" t="s">
        <v>16</v>
      </c>
      <c r="E27" s="1" t="s">
        <v>19</v>
      </c>
      <c r="F27" s="1" t="s">
        <v>18</v>
      </c>
      <c r="G27" s="1">
        <v>3566.0</v>
      </c>
      <c r="H27" s="1" t="s">
        <v>20</v>
      </c>
      <c r="I27" s="1" t="s">
        <v>47</v>
      </c>
      <c r="J27" s="1" t="s">
        <v>58</v>
      </c>
    </row>
    <row r="28">
      <c r="A28" s="1" t="s">
        <v>52</v>
      </c>
      <c r="B28" s="2">
        <v>45961.0</v>
      </c>
      <c r="C28" s="1" t="s">
        <v>52</v>
      </c>
      <c r="D28" s="1" t="s">
        <v>45</v>
      </c>
      <c r="E28" s="1" t="s">
        <v>35</v>
      </c>
      <c r="F28" s="1" t="s">
        <v>18</v>
      </c>
      <c r="G28" s="1">
        <v>23545.0</v>
      </c>
      <c r="H28" s="1" t="s">
        <v>20</v>
      </c>
      <c r="I28" s="1" t="s">
        <v>22</v>
      </c>
      <c r="J28" s="5" t="s">
        <v>56</v>
      </c>
    </row>
    <row r="29">
      <c r="A29" s="1" t="s">
        <v>57</v>
      </c>
      <c r="B29" s="2">
        <v>45961.0</v>
      </c>
      <c r="C29" s="1" t="s">
        <v>52</v>
      </c>
      <c r="D29" s="1" t="s">
        <v>16</v>
      </c>
      <c r="E29" s="1" t="s">
        <v>35</v>
      </c>
      <c r="F29" s="1" t="s">
        <v>18</v>
      </c>
      <c r="G29" s="1">
        <v>6126.0</v>
      </c>
      <c r="H29" s="1" t="s">
        <v>20</v>
      </c>
      <c r="I29" s="1" t="s">
        <v>47</v>
      </c>
      <c r="J29" s="1" t="s">
        <v>58</v>
      </c>
    </row>
    <row r="30">
      <c r="A30" s="1" t="s">
        <v>52</v>
      </c>
      <c r="B30" s="2">
        <v>45961.0</v>
      </c>
      <c r="C30" s="1" t="s">
        <v>52</v>
      </c>
      <c r="D30" s="1" t="s">
        <v>45</v>
      </c>
      <c r="E30" s="1" t="s">
        <v>38</v>
      </c>
      <c r="F30" s="1" t="s">
        <v>18</v>
      </c>
      <c r="G30" s="1">
        <v>18596.0</v>
      </c>
      <c r="H30" s="1" t="s">
        <v>20</v>
      </c>
      <c r="I30" s="1" t="s">
        <v>22</v>
      </c>
      <c r="J30" s="5" t="s">
        <v>56</v>
      </c>
    </row>
    <row r="31">
      <c r="A31" s="1" t="s">
        <v>57</v>
      </c>
      <c r="B31" s="2">
        <v>45961.0</v>
      </c>
      <c r="C31" s="1" t="s">
        <v>52</v>
      </c>
      <c r="D31" s="1" t="s">
        <v>16</v>
      </c>
      <c r="E31" s="1" t="s">
        <v>38</v>
      </c>
      <c r="F31" s="1" t="s">
        <v>18</v>
      </c>
      <c r="G31" s="1">
        <v>4947.0</v>
      </c>
      <c r="H31" s="1" t="s">
        <v>20</v>
      </c>
      <c r="I31" s="11" t="s">
        <v>47</v>
      </c>
      <c r="J31" s="1" t="s">
        <v>58</v>
      </c>
    </row>
    <row r="32">
      <c r="A32" s="1" t="s">
        <v>59</v>
      </c>
      <c r="B32" s="2">
        <v>46053.0</v>
      </c>
      <c r="C32" s="1" t="s">
        <v>62</v>
      </c>
      <c r="D32" s="1" t="s">
        <v>16</v>
      </c>
      <c r="E32" s="1" t="s">
        <v>19</v>
      </c>
      <c r="F32" s="1" t="s">
        <v>18</v>
      </c>
      <c r="G32" s="1">
        <v>3635.0</v>
      </c>
      <c r="H32" s="1" t="s">
        <v>20</v>
      </c>
      <c r="I32" s="1" t="s">
        <v>22</v>
      </c>
      <c r="J32" s="5" t="s">
        <v>63</v>
      </c>
    </row>
    <row r="33">
      <c r="A33" s="1" t="s">
        <v>59</v>
      </c>
      <c r="B33" s="2">
        <v>46053.0</v>
      </c>
      <c r="C33" s="1" t="s">
        <v>62</v>
      </c>
      <c r="D33" s="1" t="s">
        <v>16</v>
      </c>
      <c r="E33" s="1" t="s">
        <v>35</v>
      </c>
      <c r="F33" s="1" t="s">
        <v>18</v>
      </c>
      <c r="G33" s="1">
        <v>5578.0</v>
      </c>
      <c r="H33" s="1" t="s">
        <v>20</v>
      </c>
      <c r="I33" s="1" t="s">
        <v>22</v>
      </c>
      <c r="J33" s="5" t="s">
        <v>63</v>
      </c>
    </row>
    <row r="34">
      <c r="A34" s="1" t="s">
        <v>59</v>
      </c>
      <c r="B34" s="2">
        <v>46053.0</v>
      </c>
      <c r="C34" s="1" t="s">
        <v>62</v>
      </c>
      <c r="D34" s="1" t="s">
        <v>16</v>
      </c>
      <c r="E34" s="1" t="s">
        <v>38</v>
      </c>
      <c r="F34" s="1" t="s">
        <v>18</v>
      </c>
      <c r="G34" s="1">
        <v>5225.0</v>
      </c>
      <c r="H34" s="1" t="s">
        <v>20</v>
      </c>
      <c r="I34" s="1" t="s">
        <v>22</v>
      </c>
      <c r="J34" s="5" t="s">
        <v>63</v>
      </c>
    </row>
    <row r="35">
      <c r="A35" s="1" t="s">
        <v>65</v>
      </c>
      <c r="B35" s="2">
        <v>46142.0</v>
      </c>
      <c r="C35" s="1" t="s">
        <v>62</v>
      </c>
      <c r="D35" s="1" t="s">
        <v>16</v>
      </c>
      <c r="E35" s="1" t="s">
        <v>19</v>
      </c>
      <c r="F35" s="1" t="s">
        <v>18</v>
      </c>
      <c r="G35" s="1">
        <v>3580.0</v>
      </c>
      <c r="H35" s="1" t="s">
        <v>20</v>
      </c>
      <c r="I35" s="1" t="s">
        <v>22</v>
      </c>
      <c r="J35" s="5" t="s">
        <v>66</v>
      </c>
    </row>
    <row r="36">
      <c r="A36" s="1" t="s">
        <v>65</v>
      </c>
      <c r="B36" s="2">
        <v>46142.0</v>
      </c>
      <c r="C36" s="1" t="s">
        <v>62</v>
      </c>
      <c r="D36" s="1" t="s">
        <v>16</v>
      </c>
      <c r="E36" s="1" t="s">
        <v>35</v>
      </c>
      <c r="F36" s="1" t="s">
        <v>18</v>
      </c>
      <c r="G36" s="1">
        <v>5857.0</v>
      </c>
      <c r="H36" s="1" t="s">
        <v>20</v>
      </c>
      <c r="I36" s="1" t="s">
        <v>22</v>
      </c>
      <c r="J36" s="5" t="s">
        <v>66</v>
      </c>
    </row>
    <row r="37">
      <c r="A37" s="1" t="s">
        <v>65</v>
      </c>
      <c r="B37" s="2">
        <v>46142.0</v>
      </c>
      <c r="C37" s="1" t="s">
        <v>62</v>
      </c>
      <c r="D37" s="1" t="s">
        <v>16</v>
      </c>
      <c r="E37" s="1" t="s">
        <v>38</v>
      </c>
      <c r="F37" s="1" t="s">
        <v>18</v>
      </c>
      <c r="G37" s="1">
        <v>4971.0</v>
      </c>
      <c r="H37" s="1" t="s">
        <v>20</v>
      </c>
      <c r="I37" s="1" t="s">
        <v>22</v>
      </c>
      <c r="J37" s="5" t="s">
        <v>66</v>
      </c>
    </row>
    <row r="38">
      <c r="A38" s="1" t="s">
        <v>34</v>
      </c>
      <c r="B38" s="2">
        <v>46234.0</v>
      </c>
      <c r="C38" s="1" t="s">
        <v>62</v>
      </c>
      <c r="D38" s="1" t="s">
        <v>16</v>
      </c>
      <c r="E38" s="1" t="s">
        <v>19</v>
      </c>
      <c r="F38" s="1" t="s">
        <v>18</v>
      </c>
      <c r="G38" s="1">
        <v>4010.0</v>
      </c>
      <c r="H38" s="1" t="s">
        <v>20</v>
      </c>
      <c r="I38" s="1" t="s">
        <v>22</v>
      </c>
      <c r="J38" s="5" t="s">
        <v>67</v>
      </c>
    </row>
    <row r="39">
      <c r="A39" s="1" t="s">
        <v>34</v>
      </c>
      <c r="B39" s="2">
        <v>46234.0</v>
      </c>
      <c r="C39" s="1" t="s">
        <v>62</v>
      </c>
      <c r="D39" s="1" t="s">
        <v>16</v>
      </c>
      <c r="E39" s="1" t="s">
        <v>35</v>
      </c>
      <c r="F39" s="1" t="s">
        <v>18</v>
      </c>
      <c r="G39" s="1">
        <v>6486.0</v>
      </c>
      <c r="H39" s="1" t="s">
        <v>20</v>
      </c>
      <c r="I39" s="1" t="s">
        <v>22</v>
      </c>
      <c r="J39" s="5" t="s">
        <v>67</v>
      </c>
    </row>
    <row r="40">
      <c r="A40" s="1" t="s">
        <v>34</v>
      </c>
      <c r="B40" s="2">
        <v>46234.0</v>
      </c>
      <c r="C40" s="1" t="s">
        <v>62</v>
      </c>
      <c r="D40" s="1" t="s">
        <v>16</v>
      </c>
      <c r="E40" s="1" t="s">
        <v>38</v>
      </c>
      <c r="F40" s="1" t="s">
        <v>18</v>
      </c>
      <c r="G40" s="1">
        <v>5181.0</v>
      </c>
      <c r="H40" s="1" t="s">
        <v>20</v>
      </c>
      <c r="I40" s="1" t="s">
        <v>22</v>
      </c>
      <c r="J40" s="5" t="s">
        <v>67</v>
      </c>
    </row>
  </sheetData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3"/>
    <hyperlink r:id="rId12" ref="J15"/>
    <hyperlink r:id="rId13" ref="J17"/>
    <hyperlink r:id="rId14" ref="J18"/>
    <hyperlink r:id="rId15" ref="J19"/>
    <hyperlink r:id="rId16" ref="J20"/>
    <hyperlink r:id="rId17" ref="J21"/>
    <hyperlink r:id="rId18" ref="J22"/>
    <hyperlink r:id="rId19" ref="J23"/>
    <hyperlink r:id="rId20" ref="J24"/>
    <hyperlink r:id="rId21" ref="J25"/>
    <hyperlink r:id="rId22" ref="J26"/>
    <hyperlink r:id="rId23" ref="J28"/>
    <hyperlink r:id="rId24" ref="J30"/>
    <hyperlink r:id="rId25" ref="J32"/>
    <hyperlink r:id="rId26" ref="J33"/>
    <hyperlink r:id="rId27" ref="J34"/>
    <hyperlink r:id="rId28" ref="J35"/>
    <hyperlink r:id="rId29" ref="J36"/>
    <hyperlink r:id="rId30" ref="J37"/>
    <hyperlink r:id="rId31" ref="J38"/>
    <hyperlink r:id="rId32" ref="J39"/>
    <hyperlink r:id="rId33" ref="J40"/>
  </hyperlinks>
  <drawing r:id="rId3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</cols>
  <sheetData>
    <row r="1">
      <c r="A1" s="1" t="s">
        <v>32</v>
      </c>
    </row>
    <row r="2">
      <c r="B2" s="6">
        <f>IFERROR(__xludf.DUMMYFUNCTION("TRANSPOSE(Sort(unique(Filter(segment_data!$B$2:$B1000, segment_data!$F$2:F1000=""net_revenue""))))"),45322.0)</f>
        <v>45322</v>
      </c>
      <c r="C2" s="6">
        <f>IFERROR(__xludf.DUMMYFUNCTION("""COMPUTED_VALUE"""),45412.0)</f>
        <v>45412</v>
      </c>
      <c r="D2" s="6">
        <f>IFERROR(__xludf.DUMMYFUNCTION("""COMPUTED_VALUE"""),45504.0)</f>
        <v>45504</v>
      </c>
      <c r="E2" s="6">
        <f>IFERROR(__xludf.DUMMYFUNCTION("""COMPUTED_VALUE"""),45596.0)</f>
        <v>45596</v>
      </c>
      <c r="F2" s="6">
        <f>IFERROR(__xludf.DUMMYFUNCTION("""COMPUTED_VALUE"""),45688.0)</f>
        <v>45688</v>
      </c>
      <c r="G2" s="6">
        <f>IFERROR(__xludf.DUMMYFUNCTION("""COMPUTED_VALUE"""),45777.0)</f>
        <v>45777</v>
      </c>
      <c r="H2" s="6">
        <f>IFERROR(__xludf.DUMMYFUNCTION("""COMPUTED_VALUE"""),45869.0)</f>
        <v>45869</v>
      </c>
      <c r="I2" s="6">
        <f>IFERROR(__xludf.DUMMYFUNCTION("""COMPUTED_VALUE"""),45961.0)</f>
        <v>45961</v>
      </c>
      <c r="J2" s="6">
        <f>IFERROR(__xludf.DUMMYFUNCTION("""COMPUTED_VALUE"""),46053.0)</f>
        <v>46053</v>
      </c>
      <c r="K2" s="6">
        <f>IFERROR(__xludf.DUMMYFUNCTION("""COMPUTED_VALUE"""),46142.0)</f>
        <v>46142</v>
      </c>
      <c r="L2" s="6">
        <f>IFERROR(__xludf.DUMMYFUNCTION("""COMPUTED_VALUE"""),46234.0)</f>
        <v>46234</v>
      </c>
    </row>
    <row r="3">
      <c r="B3" s="4" t="str">
        <f t="array" ref="B3">_xlfn.XLOOKUP(B2, segment_data!$B:$B, segment_data!$A:$A)</f>
        <v>Q1 FY24</v>
      </c>
      <c r="C3" s="4" t="str">
        <f t="array" ref="C3">_xlfn.XLOOKUP(C2, segment_data!$B:$B, segment_data!$A:$A)</f>
        <v>Q2 FY24</v>
      </c>
      <c r="D3" s="4" t="str">
        <f t="array" ref="D3">_xlfn.XLOOKUP(D2, segment_data!$B:$B, segment_data!$A:$A)</f>
        <v>Q3 FY24</v>
      </c>
      <c r="E3" s="4" t="str">
        <f t="array" ref="E3">_xlfn.XLOOKUP(E2, segment_data!$B:$B, segment_data!$A:$A)</f>
        <v>Q4 FY24</v>
      </c>
      <c r="F3" s="4" t="str">
        <f t="array" ref="F3">_xlfn.XLOOKUP(F2, segment_data!$B:$B, segment_data!$A:$A)</f>
        <v>Q1 FY25</v>
      </c>
      <c r="G3" s="4" t="str">
        <f t="array" ref="G3">_xlfn.XLOOKUP(G2, segment_data!$B:$B, segment_data!$A:$A)</f>
        <v>Q2 FY25</v>
      </c>
      <c r="H3" s="4" t="str">
        <f t="array" ref="H3">_xlfn.XLOOKUP(H2, segment_data!$B:$B, segment_data!$A:$A)</f>
        <v>Q3 FY25</v>
      </c>
      <c r="I3" s="4" t="str">
        <f t="array" ref="I3">_xlfn.XLOOKUP(I2, segment_data!$B:$B, segment_data!$A:$A)</f>
        <v>Q4 FY25</v>
      </c>
      <c r="J3" s="4" t="str">
        <f t="array" ref="J3">_xlfn.XLOOKUP(J2, segment_data!$B:$B, segment_data!$A:$A)</f>
        <v>Q1 FY26</v>
      </c>
      <c r="K3" s="4" t="str">
        <f t="array" ref="K3">_xlfn.XLOOKUP(K2, segment_data!$B:$B, segment_data!$A:$A)</f>
        <v>Q2 FY26</v>
      </c>
      <c r="L3" s="4" t="str">
        <f t="array" ref="L3">_xlfn.XLOOKUP(L2, segment_data!$B:$B, segment_data!$A:$A)</f>
        <v>Q3 FY26</v>
      </c>
    </row>
    <row r="4">
      <c r="A4" s="4" t="str">
        <f>IFERROR(__xludf.DUMMYFUNCTION("UNIQUE(FILTER(segment_data!$D$2:$D1000, segment_data!$F2:$F1000=""net_revenue""))"),"Commercial PS")</f>
        <v>Commercial PS</v>
      </c>
      <c r="B4" s="4">
        <f>SUMIFS(segment_data!$G:$G, segment_data!$A:$A, B$3, segment_data!$D:$D, $A4, segment_data!$F:$F, "net_revenue", segment_data!$I:$I, $A$1)</f>
        <v>6045</v>
      </c>
      <c r="C4" s="4">
        <f>SUMIFS(segment_data!$G:$G, segment_data!$A:$A, C$3, segment_data!$D:$D, $A4, segment_data!$F:$F, "net_revenue", segment_data!$I:$I, $A$1)</f>
        <v>6242</v>
      </c>
      <c r="D4" s="4">
        <f>SUMIFS(segment_data!$G:$G, segment_data!$A:$A, D$3, segment_data!$D:$D, $A4, segment_data!$F:$F, "net_revenue", segment_data!$I:$I, $A$1)</f>
        <v>6677</v>
      </c>
      <c r="E4" s="4">
        <f>SUMIFS(segment_data!$G:$G, segment_data!$A:$A, E$3, segment_data!$D:$D, $A4, segment_data!$F:$F, "net_revenue", segment_data!$I:$I, $A$1)</f>
        <v>6522</v>
      </c>
      <c r="F4" s="4">
        <f>SUMIFS(segment_data!$G:$G, segment_data!$A:$A, F$3, segment_data!$D:$D, $A4, segment_data!$F:$F, "net_revenue", segment_data!$I:$I, $A$1)</f>
        <v>6645</v>
      </c>
      <c r="G4" s="4">
        <f>SUMIFS(segment_data!$G:$G, segment_data!$A:$A, G$3, segment_data!$D:$D, $A4, segment_data!$F:$F, "net_revenue", segment_data!$I:$I, $A$1)</f>
        <v>6786</v>
      </c>
      <c r="H4" s="4">
        <f>SUMIFS(segment_data!$G:$G, segment_data!$A:$A, H$3, segment_data!$D:$D, $A4, segment_data!$F:$F, "net_revenue", segment_data!$I:$I, $A$1)</f>
        <v>7036</v>
      </c>
      <c r="I4" s="4">
        <f>SUMIFS(segment_data!$G:$G, segment_data!$A:$A, I$3, segment_data!$D:$D, $A4, segment_data!$F:$F, "net_revenue", segment_data!$I:$I, $A$1)</f>
        <v>6971</v>
      </c>
      <c r="J4" s="4">
        <f>SUMIFS(segment_data!$G:$G, segment_data!$A:$A, J$3, segment_data!$D:$D, $A4, segment_data!$F:$F, "net_revenue", segment_data!$I:$I, $A$1)</f>
        <v>7253</v>
      </c>
      <c r="K4" s="4">
        <f>SUMIFS(segment_data!$G:$G, segment_data!$A:$A, K$3, segment_data!$D:$D, $A4, segment_data!$F:$F, "net_revenue", segment_data!$I:$I, $A$1)</f>
        <v>7743</v>
      </c>
      <c r="L4" s="4">
        <f>SUMIFS(segment_data!$G:$G, segment_data!$A:$A, L$3, segment_data!$D:$D, $A4, segment_data!$F:$F, "net_revenue", segment_data!$I:$I, $A$1)</f>
        <v>8579</v>
      </c>
    </row>
    <row r="5">
      <c r="A5" s="4" t="str">
        <f>IFERROR(__xludf.DUMMYFUNCTION("""COMPUTED_VALUE"""),"Consumer PS")</f>
        <v>Consumer PS</v>
      </c>
      <c r="B5" s="4">
        <f>SUMIFS(segment_data!$G:$G, segment_data!$A:$A, B$3, segment_data!$D:$D, $A5, segment_data!$F:$F, "net_revenue", segment_data!$I:$I, $A$1)</f>
        <v>2764</v>
      </c>
      <c r="C5" s="4">
        <f>SUMIFS(segment_data!$G:$G, segment_data!$A:$A, C$3, segment_data!$D:$D, $A5, segment_data!$F:$F, "net_revenue", segment_data!$I:$I, $A$1)</f>
        <v>2184</v>
      </c>
      <c r="D5" s="4">
        <f>SUMIFS(segment_data!$G:$G, segment_data!$A:$A, D$3, segment_data!$D:$D, $A5, segment_data!$F:$F, "net_revenue", segment_data!$I:$I, $A$1)</f>
        <v>2692</v>
      </c>
      <c r="E5" s="4">
        <f>SUMIFS(segment_data!$G:$G, segment_data!$A:$A, E$3, segment_data!$D:$D, $A5, segment_data!$F:$F, "net_revenue", segment_data!$I:$I, $A$1)</f>
        <v>3069</v>
      </c>
      <c r="F5" s="4">
        <f>SUMIFS(segment_data!$G:$G, segment_data!$A:$A, F$3, segment_data!$D:$D, $A5, segment_data!$F:$F, "net_revenue", segment_data!$I:$I, $A$1)</f>
        <v>2579</v>
      </c>
      <c r="G5" s="4">
        <f>SUMIFS(segment_data!$G:$G, segment_data!$A:$A, G$3, segment_data!$D:$D, $A5, segment_data!$F:$F, "net_revenue", segment_data!$I:$I, $A$1)</f>
        <v>2238</v>
      </c>
      <c r="H5" s="4">
        <f>SUMIFS(segment_data!$G:$G, segment_data!$A:$A, H$3, segment_data!$D:$D, $A5, segment_data!$F:$F, "net_revenue", segment_data!$I:$I, $A$1)</f>
        <v>2895</v>
      </c>
      <c r="I5" s="4">
        <f>SUMIFS(segment_data!$G:$G, segment_data!$A:$A, I$3, segment_data!$D:$D, $A5, segment_data!$F:$F, "net_revenue", segment_data!$I:$I, $A$1)</f>
        <v>3382</v>
      </c>
      <c r="J5" s="4">
        <f>SUMIFS(segment_data!$G:$G, segment_data!$A:$A, J$3, segment_data!$D:$D, $A5, segment_data!$F:$F, "net_revenue", segment_data!$I:$I, $A$1)</f>
        <v>2998</v>
      </c>
      <c r="K5" s="4">
        <f>SUMIFS(segment_data!$G:$G, segment_data!$A:$A, K$3, segment_data!$D:$D, $A5, segment_data!$F:$F, "net_revenue", segment_data!$I:$I, $A$1)</f>
        <v>2470</v>
      </c>
      <c r="L5" s="4">
        <f>SUMIFS(segment_data!$G:$G, segment_data!$A:$A, L$3, segment_data!$D:$D, $A5, segment_data!$F:$F, "net_revenue", segment_data!$I:$I, $A$1)</f>
        <v>3188</v>
      </c>
    </row>
    <row r="6">
      <c r="A6" s="4" t="str">
        <f>IFERROR(__xludf.DUMMYFUNCTION("""COMPUTED_VALUE"""),"Personal Systems")</f>
        <v>Personal Systems</v>
      </c>
      <c r="B6" s="4">
        <f>SUMIFS(segment_data!$G:$G, segment_data!$A:$A, B$3, segment_data!$D:$D, $A6, segment_data!$F:$F, "net_revenue", segment_data!$I:$I, $A$1)</f>
        <v>8809</v>
      </c>
      <c r="C6" s="4">
        <f>SUMIFS(segment_data!$G:$G, segment_data!$A:$A, C$3, segment_data!$D:$D, $A6, segment_data!$F:$F, "net_revenue", segment_data!$I:$I, $A$1)</f>
        <v>8426</v>
      </c>
      <c r="D6" s="4">
        <f>SUMIFS(segment_data!$G:$G, segment_data!$A:$A, D$3, segment_data!$D:$D, $A6, segment_data!$F:$F, "net_revenue", segment_data!$I:$I, $A$1)</f>
        <v>9369</v>
      </c>
      <c r="E6" s="4">
        <f>SUMIFS(segment_data!$G:$G, segment_data!$A:$A, E$3, segment_data!$D:$D, $A6, segment_data!$F:$F, "net_revenue", segment_data!$I:$I, $A$1)</f>
        <v>9591</v>
      </c>
      <c r="F6" s="4">
        <f>SUMIFS(segment_data!$G:$G, segment_data!$A:$A, F$3, segment_data!$D:$D, $A6, segment_data!$F:$F, "net_revenue", segment_data!$I:$I, $A$1)</f>
        <v>9224</v>
      </c>
      <c r="G6" s="4">
        <f>SUMIFS(segment_data!$G:$G, segment_data!$A:$A, G$3, segment_data!$D:$D, $A6, segment_data!$F:$F, "net_revenue", segment_data!$I:$I, $A$1)</f>
        <v>9024</v>
      </c>
      <c r="H6" s="4">
        <f>SUMIFS(segment_data!$G:$G, segment_data!$A:$A, H$3, segment_data!$D:$D, $A6, segment_data!$F:$F, "net_revenue", segment_data!$I:$I, $A$1)</f>
        <v>9931</v>
      </c>
      <c r="I6" s="4">
        <f>SUMIFS(segment_data!$G:$G, segment_data!$A:$A, I$3, segment_data!$D:$D, $A6, segment_data!$F:$F, "net_revenue", segment_data!$I:$I, $A$1)</f>
        <v>10353</v>
      </c>
      <c r="J6" s="4">
        <f>SUMIFS(segment_data!$G:$G, segment_data!$A:$A, J$3, segment_data!$D:$D, $A6, segment_data!$F:$F, "net_revenue", segment_data!$I:$I, $A$1)</f>
        <v>10251</v>
      </c>
      <c r="K6" s="4">
        <f>SUMIFS(segment_data!$G:$G, segment_data!$A:$A, K$3, segment_data!$D:$D, $A6, segment_data!$F:$F, "net_revenue", segment_data!$I:$I, $A$1)</f>
        <v>10213</v>
      </c>
      <c r="L6" s="4">
        <f>SUMIFS(segment_data!$G:$G, segment_data!$A:$A, L$3, segment_data!$D:$D, $A6, segment_data!$F:$F, "net_revenue", segment_data!$I:$I, $A$1)</f>
        <v>11767</v>
      </c>
    </row>
    <row r="7">
      <c r="A7" s="4" t="str">
        <f>IFERROR(__xludf.DUMMYFUNCTION("""COMPUTED_VALUE"""),"Supplies")</f>
        <v>Supplies</v>
      </c>
      <c r="B7" s="4">
        <f>SUMIFS(segment_data!$G:$G, segment_data!$A:$A, B$3, segment_data!$D:$D, $A7, segment_data!$F:$F, "net_revenue", segment_data!$I:$I, $A$1)</f>
        <v>2863</v>
      </c>
      <c r="C7" s="4">
        <f>SUMIFS(segment_data!$G:$G, segment_data!$A:$A, C$3, segment_data!$D:$D, $A7, segment_data!$F:$F, "net_revenue", segment_data!$I:$I, $A$1)</f>
        <v>2864</v>
      </c>
      <c r="D7" s="4">
        <f>SUMIFS(segment_data!$G:$G, segment_data!$A:$A, D$3, segment_data!$D:$D, $A7, segment_data!$F:$F, "net_revenue", segment_data!$I:$I, $A$1)</f>
        <v>2704</v>
      </c>
      <c r="E7" s="4">
        <f>SUMIFS(segment_data!$G:$G, segment_data!$A:$A, E$3, segment_data!$D:$D, $A7, segment_data!$F:$F, "net_revenue", segment_data!$I:$I, $A$1)</f>
        <v>2867</v>
      </c>
      <c r="F7" s="4">
        <f>SUMIFS(segment_data!$G:$G, segment_data!$A:$A, F$3, segment_data!$D:$D, $A7, segment_data!$F:$F, "net_revenue", segment_data!$I:$I, $A$1)</f>
        <v>2829</v>
      </c>
      <c r="G7" s="4">
        <f>SUMIFS(segment_data!$G:$G, segment_data!$A:$A, G$3, segment_data!$D:$D, $A7, segment_data!$F:$F, "net_revenue", segment_data!$I:$I, $A$1)</f>
        <v>2728</v>
      </c>
      <c r="H7" s="4">
        <f>SUMIFS(segment_data!$G:$G, segment_data!$A:$A, H$3, segment_data!$D:$D, $A7, segment_data!$F:$F, "net_revenue", segment_data!$I:$I, $A$1)</f>
        <v>2609</v>
      </c>
      <c r="I7" s="4">
        <f>SUMIFS(segment_data!$G:$G, segment_data!$A:$A, I$3, segment_data!$D:$D, $A7, segment_data!$F:$F, "net_revenue", segment_data!$I:$I, $A$1)</f>
        <v>2767</v>
      </c>
      <c r="J7" s="4">
        <f>SUMIFS(segment_data!$G:$G, segment_data!$A:$A, J$3, segment_data!$D:$D, $A7, segment_data!$F:$F, "net_revenue", segment_data!$I:$I, $A$1)</f>
        <v>2799</v>
      </c>
      <c r="K7" s="4">
        <f>SUMIFS(segment_data!$G:$G, segment_data!$A:$A, K$3, segment_data!$D:$D, $A7, segment_data!$F:$F, "net_revenue", segment_data!$I:$I, $A$1)</f>
        <v>2754</v>
      </c>
      <c r="L7" s="4">
        <f>SUMIFS(segment_data!$G:$G, segment_data!$A:$A, L$3, segment_data!$D:$D, $A7, segment_data!$F:$F, "net_revenue", segment_data!$I:$I, $A$1)</f>
        <v>2536</v>
      </c>
    </row>
    <row r="8">
      <c r="A8" s="4" t="str">
        <f>IFERROR(__xludf.DUMMYFUNCTION("""COMPUTED_VALUE"""),"Commercial Printing")</f>
        <v>Commercial Printing</v>
      </c>
      <c r="B8" s="4">
        <f>SUMIFS(segment_data!$G:$G, segment_data!$A:$A, B$3, segment_data!$D:$D, $A8, segment_data!$F:$F, "net_revenue", segment_data!$I:$I, $A$1)</f>
        <v>1227</v>
      </c>
      <c r="C8" s="4">
        <f>SUMIFS(segment_data!$G:$G, segment_data!$A:$A, C$3, segment_data!$D:$D, $A8, segment_data!$F:$F, "net_revenue", segment_data!$I:$I, $A$1)</f>
        <v>1205</v>
      </c>
      <c r="D8" s="4">
        <f>SUMIFS(segment_data!$G:$G, segment_data!$A:$A, D$3, segment_data!$D:$D, $A8, segment_data!$F:$F, "net_revenue", segment_data!$I:$I, $A$1)</f>
        <v>1147</v>
      </c>
      <c r="E8" s="4">
        <f>SUMIFS(segment_data!$G:$G, segment_data!$A:$A, E$3, segment_data!$D:$D, $A8, segment_data!$F:$F, "net_revenue", segment_data!$I:$I, $A$1)</f>
        <v>1262</v>
      </c>
      <c r="F8" s="4">
        <f>SUMIFS(segment_data!$G:$G, segment_data!$A:$A, F$3, segment_data!$D:$D, $A8, segment_data!$F:$F, "net_revenue", segment_data!$I:$I, $A$1)</f>
        <v>1144</v>
      </c>
      <c r="G8" s="4">
        <f>SUMIFS(segment_data!$G:$G, segment_data!$A:$A, G$3, segment_data!$D:$D, $A8, segment_data!$F:$F, "net_revenue", segment_data!$I:$I, $A$1)</f>
        <v>1167</v>
      </c>
      <c r="H8" s="4">
        <f>SUMIFS(segment_data!$G:$G, segment_data!$A:$A, H$3, segment_data!$D:$D, $A8, segment_data!$F:$F, "net_revenue", segment_data!$I:$I, $A$1)</f>
        <v>1113</v>
      </c>
      <c r="I8" s="4">
        <f>SUMIFS(segment_data!$G:$G, segment_data!$A:$A, I$3, segment_data!$D:$D, $A8, segment_data!$F:$F, "net_revenue", segment_data!$I:$I, $A$1)</f>
        <v>1209</v>
      </c>
      <c r="J8" s="4">
        <f>SUMIFS(segment_data!$G:$G, segment_data!$A:$A, J$3, segment_data!$D:$D, $A8, segment_data!$F:$F, "net_revenue", segment_data!$I:$I, $A$1)</f>
        <v>1105</v>
      </c>
      <c r="K8" s="4">
        <f>SUMIFS(segment_data!$G:$G, segment_data!$A:$A, K$3, segment_data!$D:$D, $A8, segment_data!$F:$F, "net_revenue", segment_data!$I:$I, $A$1)</f>
        <v>1168</v>
      </c>
      <c r="L8" s="4">
        <f>SUMIFS(segment_data!$G:$G, segment_data!$A:$A, L$3, segment_data!$D:$D, $A8, segment_data!$F:$F, "net_revenue", segment_data!$I:$I, $A$1)</f>
        <v>1101</v>
      </c>
    </row>
    <row r="9">
      <c r="A9" s="4" t="str">
        <f>IFERROR(__xludf.DUMMYFUNCTION("""COMPUTED_VALUE"""),"Consumer Printing")</f>
        <v>Consumer Printing</v>
      </c>
      <c r="B9" s="4">
        <f>SUMIFS(segment_data!$G:$G, segment_data!$A:$A, B$3, segment_data!$D:$D, $A9, segment_data!$F:$F, "net_revenue", segment_data!$I:$I, $A$1)</f>
        <v>285</v>
      </c>
      <c r="C9" s="4">
        <f>SUMIFS(segment_data!$G:$G, segment_data!$A:$A, C$3, segment_data!$D:$D, $A9, segment_data!$F:$F, "net_revenue", segment_data!$I:$I, $A$1)</f>
        <v>300</v>
      </c>
      <c r="D9" s="4">
        <f>SUMIFS(segment_data!$G:$G, segment_data!$A:$A, D$3, segment_data!$D:$D, $A9, segment_data!$F:$F, "net_revenue", segment_data!$I:$I, $A$1)</f>
        <v>299</v>
      </c>
      <c r="E9" s="4">
        <f>SUMIFS(segment_data!$G:$G, segment_data!$A:$A, E$3, segment_data!$D:$D, $A9, segment_data!$F:$F, "net_revenue", segment_data!$I:$I, $A$1)</f>
        <v>333</v>
      </c>
      <c r="F9" s="4">
        <f>SUMIFS(segment_data!$G:$G, segment_data!$A:$A, F$3, segment_data!$D:$D, $A9, segment_data!$F:$F, "net_revenue", segment_data!$I:$I, $A$1)</f>
        <v>307</v>
      </c>
      <c r="G9" s="4">
        <f>SUMIFS(segment_data!$G:$G, segment_data!$A:$A, G$3, segment_data!$D:$D, $A9, segment_data!$F:$F, "net_revenue", segment_data!$I:$I, $A$1)</f>
        <v>302</v>
      </c>
      <c r="H9" s="4">
        <f>SUMIFS(segment_data!$G:$G, segment_data!$A:$A, H$3, segment_data!$D:$D, $A9, segment_data!$F:$F, "net_revenue", segment_data!$I:$I, $A$1)</f>
        <v>280</v>
      </c>
      <c r="I9" s="4">
        <f>SUMIFS(segment_data!$G:$G, segment_data!$A:$A, I$3, segment_data!$D:$D, $A9, segment_data!$F:$F, "net_revenue", segment_data!$I:$I, $A$1)</f>
        <v>309</v>
      </c>
      <c r="J9" s="4">
        <f>SUMIFS(segment_data!$G:$G, segment_data!$A:$A, J$3, segment_data!$D:$D, $A9, segment_data!$F:$F, "net_revenue", segment_data!$I:$I, $A$1)</f>
        <v>283</v>
      </c>
      <c r="K9" s="4">
        <f>SUMIFS(segment_data!$G:$G, segment_data!$A:$A, K$3, segment_data!$D:$D, $A9, segment_data!$F:$F, "net_revenue", segment_data!$I:$I, $A$1)</f>
        <v>273</v>
      </c>
      <c r="L9" s="4">
        <f>SUMIFS(segment_data!$G:$G, segment_data!$A:$A, L$3, segment_data!$D:$D, $A9, segment_data!$F:$F, "net_revenue", segment_data!$I:$I, $A$1)</f>
        <v>275</v>
      </c>
    </row>
    <row r="10">
      <c r="A10" s="4" t="str">
        <f>IFERROR(__xludf.DUMMYFUNCTION("""COMPUTED_VALUE"""),"Printing")</f>
        <v>Printing</v>
      </c>
      <c r="B10" s="4">
        <f>SUMIFS(segment_data!$G:$G, segment_data!$A:$A, B$3, segment_data!$D:$D, $A10, segment_data!$F:$F, "net_revenue", segment_data!$I:$I, $A$1)</f>
        <v>4375</v>
      </c>
      <c r="C10" s="4">
        <f>SUMIFS(segment_data!$G:$G, segment_data!$A:$A, C$3, segment_data!$D:$D, $A10, segment_data!$F:$F, "net_revenue", segment_data!$I:$I, $A$1)</f>
        <v>4369</v>
      </c>
      <c r="D10" s="4">
        <f>SUMIFS(segment_data!$G:$G, segment_data!$A:$A, D$3, segment_data!$D:$D, $A10, segment_data!$F:$F, "net_revenue", segment_data!$I:$I, $A$1)</f>
        <v>4150</v>
      </c>
      <c r="E10" s="4">
        <f>SUMIFS(segment_data!$G:$G, segment_data!$A:$A, E$3, segment_data!$D:$D, $A10, segment_data!$F:$F, "net_revenue", segment_data!$I:$I, $A$1)</f>
        <v>4462</v>
      </c>
      <c r="F10" s="4">
        <f>SUMIFS(segment_data!$G:$G, segment_data!$A:$A, F$3, segment_data!$D:$D, $A10, segment_data!$F:$F, "net_revenue", segment_data!$I:$I, $A$1)</f>
        <v>4280</v>
      </c>
      <c r="G10" s="4">
        <f>SUMIFS(segment_data!$G:$G, segment_data!$A:$A, G$3, segment_data!$D:$D, $A10, segment_data!$F:$F, "net_revenue", segment_data!$I:$I, $A$1)</f>
        <v>4197</v>
      </c>
      <c r="H10" s="4">
        <f>SUMIFS(segment_data!$G:$G, segment_data!$A:$A, H$3, segment_data!$D:$D, $A10, segment_data!$F:$F, "net_revenue", segment_data!$I:$I, $A$1)</f>
        <v>4002</v>
      </c>
      <c r="I10" s="4">
        <f>SUMIFS(segment_data!$G:$G, segment_data!$A:$A, I$3, segment_data!$D:$D, $A10, segment_data!$F:$F, "net_revenue", segment_data!$I:$I, $A$1)</f>
        <v>4285</v>
      </c>
      <c r="J10" s="4">
        <f>SUMIFS(segment_data!$G:$G, segment_data!$A:$A, J$3, segment_data!$D:$D, $A10, segment_data!$F:$F, "net_revenue", segment_data!$I:$I, $A$1)</f>
        <v>4187</v>
      </c>
      <c r="K10" s="4">
        <f>SUMIFS(segment_data!$G:$G, segment_data!$A:$A, K$3, segment_data!$D:$D, $A10, segment_data!$F:$F, "net_revenue", segment_data!$I:$I, $A$1)</f>
        <v>4195</v>
      </c>
      <c r="L10" s="4">
        <f>SUMIFS(segment_data!$G:$G, segment_data!$A:$A, L$3, segment_data!$D:$D, $A10, segment_data!$F:$F, "net_revenue", segment_data!$I:$I, $A$1)</f>
        <v>3912</v>
      </c>
    </row>
    <row r="11">
      <c r="A11" s="4" t="str">
        <f>IFERROR(__xludf.DUMMYFUNCTION("""COMPUTED_VALUE"""),"Corporate Investments")</f>
        <v>Corporate Investments</v>
      </c>
      <c r="B11" s="4">
        <f>SUMIFS(segment_data!$G:$G, segment_data!$A:$A, B$3, segment_data!$D:$D, $A11, segment_data!$F:$F, "net_revenue", segment_data!$I:$I, $A$1)</f>
        <v>2</v>
      </c>
      <c r="C11" s="4">
        <f>SUMIFS(segment_data!$G:$G, segment_data!$A:$A, C$3, segment_data!$D:$D, $A11, segment_data!$F:$F, "net_revenue", segment_data!$I:$I, $A$1)</f>
        <v>4</v>
      </c>
      <c r="D11" s="4">
        <f>SUMIFS(segment_data!$G:$G, segment_data!$A:$A, D$3, segment_data!$D:$D, $A11, segment_data!$F:$F, "net_revenue", segment_data!$I:$I, $A$1)</f>
        <v>0</v>
      </c>
      <c r="E11" s="4">
        <f>SUMIFS(segment_data!$G:$G, segment_data!$A:$A, E$3, segment_data!$D:$D, $A11, segment_data!$F:$F, "net_revenue", segment_data!$I:$I, $A$1)</f>
        <v>1</v>
      </c>
      <c r="F11" s="4">
        <f>SUMIFS(segment_data!$G:$G, segment_data!$A:$A, F$3, segment_data!$D:$D, $A11, segment_data!$F:$F, "net_revenue", segment_data!$I:$I, $A$1)</f>
        <v>0</v>
      </c>
      <c r="G11" s="4">
        <f>SUMIFS(segment_data!$G:$G, segment_data!$A:$A, G$3, segment_data!$D:$D, $A11, segment_data!$F:$F, "net_revenue", segment_data!$I:$I, $A$1)</f>
        <v>0</v>
      </c>
      <c r="H11" s="4">
        <f>SUMIFS(segment_data!$G:$G, segment_data!$A:$A, H$3, segment_data!$D:$D, $A11, segment_data!$F:$F, "net_revenue", segment_data!$I:$I, $A$1)</f>
        <v>0</v>
      </c>
      <c r="I11" s="4">
        <f>SUMIFS(segment_data!$G:$G, segment_data!$A:$A, I$3, segment_data!$D:$D, $A11, segment_data!$F:$F, "net_revenue", segment_data!$I:$I, $A$1)</f>
        <v>0</v>
      </c>
      <c r="J11" s="4">
        <f>SUMIFS(segment_data!$G:$G, segment_data!$A:$A, J$3, segment_data!$D:$D, $A11, segment_data!$F:$F, "net_revenue", segment_data!$I:$I, $A$1)</f>
        <v>0</v>
      </c>
      <c r="K11" s="4">
        <f>SUMIFS(segment_data!$G:$G, segment_data!$A:$A, K$3, segment_data!$D:$D, $A11, segment_data!$F:$F, "net_revenue", segment_data!$I:$I, $A$1)</f>
        <v>0</v>
      </c>
      <c r="L11" s="4">
        <f>SUMIFS(segment_data!$G:$G, segment_data!$A:$A, L$3, segment_data!$D:$D, $A11, segment_data!$F:$F, "net_revenue", segment_data!$I:$I, $A$1)</f>
        <v>0</v>
      </c>
    </row>
    <row r="12">
      <c r="A12" s="4" t="str">
        <f>IFERROR(__xludf.DUMMYFUNCTION("""COMPUTED_VALUE"""),"Total segment")</f>
        <v>Total segment</v>
      </c>
      <c r="B12" s="4">
        <f>SUMIFS(segment_data!$G:$G, segment_data!$A:$A, B$3, segment_data!$D:$D, $A12, segment_data!$F:$F, "net_revenue", segment_data!$I:$I, $A$1)</f>
        <v>13186</v>
      </c>
      <c r="C12" s="4">
        <f>SUMIFS(segment_data!$G:$G, segment_data!$A:$A, C$3, segment_data!$D:$D, $A12, segment_data!$F:$F, "net_revenue", segment_data!$I:$I, $A$1)</f>
        <v>12799</v>
      </c>
      <c r="D12" s="4">
        <f>SUMIFS(segment_data!$G:$G, segment_data!$A:$A, D$3, segment_data!$D:$D, $A12, segment_data!$F:$F, "net_revenue", segment_data!$I:$I, $A$1)</f>
        <v>13519</v>
      </c>
      <c r="E12" s="4">
        <f>SUMIFS(segment_data!$G:$G, segment_data!$A:$A, E$3, segment_data!$D:$D, $A12, segment_data!$F:$F, "net_revenue", segment_data!$I:$I, $A$1)</f>
        <v>14054</v>
      </c>
      <c r="F12" s="4">
        <f>SUMIFS(segment_data!$G:$G, segment_data!$A:$A, F$3, segment_data!$D:$D, $A12, segment_data!$F:$F, "net_revenue", segment_data!$I:$I, $A$1)</f>
        <v>13504</v>
      </c>
      <c r="G12" s="4">
        <f>SUMIFS(segment_data!$G:$G, segment_data!$A:$A, G$3, segment_data!$D:$D, $A12, segment_data!$F:$F, "net_revenue", segment_data!$I:$I, $A$1)</f>
        <v>13221</v>
      </c>
      <c r="H12" s="4">
        <f>SUMIFS(segment_data!$G:$G, segment_data!$A:$A, H$3, segment_data!$D:$D, $A12, segment_data!$F:$F, "net_revenue", segment_data!$I:$I, $A$1)</f>
        <v>13933</v>
      </c>
      <c r="I12" s="4">
        <f>SUMIFS(segment_data!$G:$G, segment_data!$A:$A, I$3, segment_data!$D:$D, $A12, segment_data!$F:$F, "net_revenue", segment_data!$I:$I, $A$1)</f>
        <v>14638</v>
      </c>
      <c r="J12" s="4">
        <f>SUMIFS(segment_data!$G:$G, segment_data!$A:$A, J$3, segment_data!$D:$D, $A12, segment_data!$F:$F, "net_revenue", segment_data!$I:$I, $A$1)</f>
        <v>14438</v>
      </c>
      <c r="K12" s="4">
        <f>SUMIFS(segment_data!$G:$G, segment_data!$A:$A, K$3, segment_data!$D:$D, $A12, segment_data!$F:$F, "net_revenue", segment_data!$I:$I, $A$1)</f>
        <v>14408</v>
      </c>
      <c r="L12" s="4">
        <f>SUMIFS(segment_data!$G:$G, segment_data!$A:$A, L$3, segment_data!$D:$D, $A12, segment_data!$F:$F, "net_revenue", segment_data!$I:$I, $A$1)</f>
        <v>15679</v>
      </c>
    </row>
  </sheetData>
  <dataValidations>
    <dataValidation type="list" allowBlank="1" showErrorMessage="1" sqref="A1">
      <formula1>"FY26 Realigned,as previously reported"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23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33</v>
      </c>
    </row>
    <row r="2">
      <c r="A2" s="4" t="s">
        <v>15</v>
      </c>
      <c r="B2" s="1" t="s">
        <v>34</v>
      </c>
      <c r="C2" s="4">
        <f>SUMIFS(segment_data!$G:$G, segment_data!$A:$A, $B2, segment_data!$D:$D, $A2, segment_data!$F:$F, "net_revenue", segment_data!$I:$I, "FY26 realigned")</f>
        <v>8579</v>
      </c>
      <c r="D2" s="1" t="s">
        <v>43</v>
      </c>
      <c r="E2" s="4">
        <f>SUMIFS(segment_data!$G:$G, segment_data!$A:$A, $D2, segment_data!$D:$D, $A2, segment_data!$F:$F, "net_revenue", segment_data!$I:$I, "FY26 realigned")</f>
        <v>7036</v>
      </c>
      <c r="F2" s="7">
        <f t="shared" ref="F2:F9" si="1">C2/E2-1</f>
        <v>0.2193007391</v>
      </c>
      <c r="G2" s="8">
        <v>0.22</v>
      </c>
      <c r="H2" s="4" t="str">
        <f t="shared" ref="H2:H9" si="2">IF(ABS(F2-G2)&gt;0.005,"CHECK","OK")</f>
        <v>OK</v>
      </c>
    </row>
    <row r="3">
      <c r="A3" s="4" t="s">
        <v>42</v>
      </c>
      <c r="B3" s="1" t="s">
        <v>34</v>
      </c>
      <c r="C3" s="4">
        <f>SUMIFS(segment_data!$G:$G, segment_data!$A:$A, $B3, segment_data!$D:$D, $A3, segment_data!$F:$F, "net_revenue", segment_data!$I:$I, "FY26 realigned")</f>
        <v>3188</v>
      </c>
      <c r="D3" s="1" t="s">
        <v>43</v>
      </c>
      <c r="E3" s="4">
        <f>SUMIFS(segment_data!$G:$G, segment_data!$A:$A, $D3, segment_data!$D:$D, $A3, segment_data!$F:$F, "net_revenue", segment_data!$I:$I, "FY26 realigned")</f>
        <v>2895</v>
      </c>
      <c r="F3" s="7">
        <f t="shared" si="1"/>
        <v>0.101208981</v>
      </c>
      <c r="G3" s="9">
        <v>0.1</v>
      </c>
      <c r="H3" s="4" t="str">
        <f t="shared" si="2"/>
        <v>OK</v>
      </c>
    </row>
    <row r="4">
      <c r="A4" s="10" t="s">
        <v>17</v>
      </c>
      <c r="B4" s="1" t="s">
        <v>34</v>
      </c>
      <c r="C4" s="4">
        <f>SUMIFS(segment_data!$G:$G, segment_data!$A:$A, $B4, segment_data!$D:$D, $A4, segment_data!$F:$F, "net_revenue", segment_data!$I:$I, "FY26 realigned")</f>
        <v>11767</v>
      </c>
      <c r="D4" s="1" t="s">
        <v>43</v>
      </c>
      <c r="E4" s="4">
        <f>SUMIFS(segment_data!$G:$G, segment_data!$A:$A, $D4, segment_data!$D:$D, $A4, segment_data!$F:$F, "net_revenue", segment_data!$I:$I, "FY26 realigned")</f>
        <v>9931</v>
      </c>
      <c r="F4" s="7">
        <f t="shared" si="1"/>
        <v>0.1848756419</v>
      </c>
      <c r="G4" s="9">
        <v>0.18</v>
      </c>
      <c r="H4" s="4" t="str">
        <f t="shared" si="2"/>
        <v>OK</v>
      </c>
    </row>
    <row r="5">
      <c r="A5" s="10" t="s">
        <v>48</v>
      </c>
      <c r="B5" s="1" t="s">
        <v>34</v>
      </c>
      <c r="C5" s="4">
        <f>SUMIFS(segment_data!$G:$G, segment_data!$A:$A, $B5, segment_data!$D:$D, $A5, segment_data!$F:$F, "net_revenue", segment_data!$I:$I, "FY26 realigned")</f>
        <v>2536</v>
      </c>
      <c r="D5" s="1" t="s">
        <v>43</v>
      </c>
      <c r="E5" s="4">
        <f>SUMIFS(segment_data!$G:$G, segment_data!$A:$A, $D5, segment_data!$D:$D, $A5, segment_data!$F:$F, "net_revenue", segment_data!$I:$I, "FY26 realigned")</f>
        <v>2609</v>
      </c>
      <c r="F5" s="7">
        <f t="shared" si="1"/>
        <v>-0.02798006899</v>
      </c>
      <c r="G5" s="9">
        <v>-0.03</v>
      </c>
      <c r="H5" s="4" t="str">
        <f t="shared" si="2"/>
        <v>OK</v>
      </c>
    </row>
    <row r="6">
      <c r="A6" s="4" t="s">
        <v>53</v>
      </c>
      <c r="B6" s="1" t="s">
        <v>34</v>
      </c>
      <c r="C6" s="4">
        <f>SUMIFS(segment_data!$G:$G, segment_data!$A:$A, $B6, segment_data!$D:$D, $A6, segment_data!$F:$F, "net_revenue", segment_data!$I:$I, "FY26 realigned")</f>
        <v>1101</v>
      </c>
      <c r="D6" s="1" t="s">
        <v>43</v>
      </c>
      <c r="E6" s="4">
        <f>SUMIFS(segment_data!$G:$G, segment_data!$A:$A, $D6, segment_data!$D:$D, $A6, segment_data!$F:$F, "net_revenue", segment_data!$I:$I, "FY26 realigned")</f>
        <v>1113</v>
      </c>
      <c r="F6" s="7">
        <f t="shared" si="1"/>
        <v>-0.01078167116</v>
      </c>
      <c r="G6" s="9">
        <v>-0.01</v>
      </c>
      <c r="H6" s="4" t="str">
        <f t="shared" si="2"/>
        <v>OK</v>
      </c>
    </row>
    <row r="7">
      <c r="A7" s="4" t="s">
        <v>55</v>
      </c>
      <c r="B7" s="1" t="s">
        <v>34</v>
      </c>
      <c r="C7" s="4">
        <f>SUMIFS(segment_data!$G:$G, segment_data!$A:$A, $B7, segment_data!$D:$D, $A7, segment_data!$F:$F, "net_revenue", segment_data!$I:$I, "FY26 realigned")</f>
        <v>275</v>
      </c>
      <c r="D7" s="1" t="s">
        <v>43</v>
      </c>
      <c r="E7" s="4">
        <f>SUMIFS(segment_data!$G:$G, segment_data!$A:$A, $D7, segment_data!$D:$D, $A7, segment_data!$F:$F, "net_revenue", segment_data!$I:$I, "FY26 realigned")</f>
        <v>280</v>
      </c>
      <c r="F7" s="7">
        <f t="shared" si="1"/>
        <v>-0.01785714286</v>
      </c>
      <c r="G7" s="9">
        <v>-0.02</v>
      </c>
      <c r="H7" s="4" t="str">
        <f t="shared" si="2"/>
        <v>OK</v>
      </c>
    </row>
    <row r="8">
      <c r="A8" s="10" t="s">
        <v>50</v>
      </c>
      <c r="B8" s="1" t="s">
        <v>34</v>
      </c>
      <c r="C8" s="4">
        <f>SUMIFS(segment_data!$G:$G, segment_data!$A:$A, $B8, segment_data!$D:$D, $A8, segment_data!$F:$F, "net_revenue", segment_data!$I:$I, "FY26 realigned")</f>
        <v>3912</v>
      </c>
      <c r="D8" s="1" t="s">
        <v>43</v>
      </c>
      <c r="E8" s="4">
        <f>SUMIFS(segment_data!$G:$G, segment_data!$A:$A, $D8, segment_data!$D:$D, $A8, segment_data!$F:$F, "net_revenue", segment_data!$I:$I, "FY26 realigned")</f>
        <v>4002</v>
      </c>
      <c r="F8" s="7">
        <f t="shared" si="1"/>
        <v>-0.02248875562</v>
      </c>
      <c r="G8" s="9">
        <v>-0.02</v>
      </c>
      <c r="H8" s="4" t="str">
        <f t="shared" si="2"/>
        <v>OK</v>
      </c>
    </row>
    <row r="9">
      <c r="A9" s="4" t="s">
        <v>64</v>
      </c>
      <c r="B9" s="1" t="s">
        <v>34</v>
      </c>
      <c r="C9" s="4">
        <f>SUMIFS(segment_data!$G:$G, segment_data!$A:$A, $B9, segment_data!$D:$D, $A9, segment_data!$F:$F, "net_revenue", segment_data!$I:$I, "FY26 realigned")</f>
        <v>15679</v>
      </c>
      <c r="D9" s="1" t="s">
        <v>43</v>
      </c>
      <c r="E9" s="4">
        <f>SUMIFS(segment_data!$G:$G, segment_data!$A:$A, $D9, segment_data!$D:$D, $A9, segment_data!$F:$F, "net_revenue", segment_data!$I:$I, "FY26 realigned")</f>
        <v>13933</v>
      </c>
      <c r="F9" s="7">
        <f t="shared" si="1"/>
        <v>0.1253140027</v>
      </c>
      <c r="G9" s="9">
        <v>0.13</v>
      </c>
      <c r="H9" s="4" t="str">
        <f t="shared" si="2"/>
        <v>OK</v>
      </c>
    </row>
  </sheetData>
  <drawing r:id="rId1"/>
</worksheet>
</file>